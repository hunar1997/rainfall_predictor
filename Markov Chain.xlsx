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کاتی و گرنگ\Hunar\"/>
    </mc:Choice>
  </mc:AlternateContent>
  <xr:revisionPtr revIDLastSave="0" documentId="13_ncr:1_{D0D59567-A274-44BE-88D2-7631B957752B}" xr6:coauthVersionLast="47" xr6:coauthVersionMax="47" xr10:uidLastSave="{00000000-0000-0000-0000-000000000000}"/>
  <bookViews>
    <workbookView xWindow="-120" yWindow="-120" windowWidth="29040" windowHeight="15720" activeTab="2" xr2:uid="{59F52203-B394-437A-9A5D-F6B5FDD0B84D}"/>
  </bookViews>
  <sheets>
    <sheet name="1st order Markov Chain" sheetId="2" r:id="rId1"/>
    <sheet name="making it have equal count" sheetId="3" r:id="rId2"/>
    <sheet name="2nd order" sheetId="4" r:id="rId3"/>
  </sheets>
  <definedNames>
    <definedName name="solver_adj" localSheetId="2" hidden="1">'2nd order'!$G$3:$G$6</definedName>
    <definedName name="solver_cvg" localSheetId="2" hidden="1">0.0001</definedName>
    <definedName name="solver_drv" localSheetId="2" hidden="1">2</definedName>
    <definedName name="solver_eng" localSheetId="2" hidden="1">3</definedName>
    <definedName name="solver_est" localSheetId="2" hidden="1">1</definedName>
    <definedName name="solver_itr" localSheetId="2" hidden="1">2147483647</definedName>
    <definedName name="solver_lhs1" localSheetId="2" hidden="1">'2nd order'!$G$3</definedName>
    <definedName name="solver_lhs2" localSheetId="2" hidden="1">'2nd order'!$G$3</definedName>
    <definedName name="solver_lhs3" localSheetId="2" hidden="1">'2nd order'!$G$4</definedName>
    <definedName name="solver_lhs4" localSheetId="2" hidden="1">'2nd order'!$G$5</definedName>
    <definedName name="solver_lhs5" localSheetId="2" hidden="1">'2nd order'!$G$6</definedName>
    <definedName name="solver_mip" localSheetId="2" hidden="1">2147483647</definedName>
    <definedName name="solver_mni" localSheetId="2" hidden="1">30</definedName>
    <definedName name="solver_mrt" localSheetId="2" hidden="1">0.75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5</definedName>
    <definedName name="solver_nwt" localSheetId="2" hidden="1">1</definedName>
    <definedName name="solver_opt" localSheetId="2" hidden="1">'2nd order'!$R$14</definedName>
    <definedName name="solver_pre" localSheetId="2" hidden="1">0.00001</definedName>
    <definedName name="solver_rbv" localSheetId="2" hidden="1">2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1</definedName>
    <definedName name="solver_rel5" localSheetId="2" hidden="1">1</definedName>
    <definedName name="solver_rhs1" localSheetId="2" hidden="1">'2nd order'!$G$4</definedName>
    <definedName name="solver_rhs2" localSheetId="2" hidden="1">50</definedName>
    <definedName name="solver_rhs3" localSheetId="2" hidden="1">'2nd order'!$G$5</definedName>
    <definedName name="solver_rhs4" localSheetId="2" hidden="1">'2nd order'!$G$6</definedName>
    <definedName name="solver_rhs5" localSheetId="2" hidden="1">1000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900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4" l="1"/>
  <c r="D87" i="4" s="1"/>
  <c r="D86" i="4"/>
  <c r="C86" i="4"/>
  <c r="C85" i="4"/>
  <c r="C84" i="4"/>
  <c r="D85" i="4" s="1"/>
  <c r="C83" i="4"/>
  <c r="D82" i="4"/>
  <c r="C82" i="4"/>
  <c r="C81" i="4"/>
  <c r="C80" i="4"/>
  <c r="D81" i="4" s="1"/>
  <c r="C79" i="4"/>
  <c r="D78" i="4"/>
  <c r="C78" i="4"/>
  <c r="C77" i="4"/>
  <c r="C76" i="4"/>
  <c r="D77" i="4" s="1"/>
  <c r="C75" i="4"/>
  <c r="D74" i="4"/>
  <c r="C74" i="4"/>
  <c r="C73" i="4"/>
  <c r="C72" i="4"/>
  <c r="D73" i="4" s="1"/>
  <c r="C71" i="4"/>
  <c r="D70" i="4"/>
  <c r="C70" i="4"/>
  <c r="C69" i="4"/>
  <c r="C68" i="4"/>
  <c r="D69" i="4" s="1"/>
  <c r="C67" i="4"/>
  <c r="D66" i="4"/>
  <c r="C66" i="4"/>
  <c r="C65" i="4"/>
  <c r="C64" i="4"/>
  <c r="D65" i="4" s="1"/>
  <c r="C63" i="4"/>
  <c r="D62" i="4"/>
  <c r="C62" i="4"/>
  <c r="C61" i="4"/>
  <c r="C60" i="4"/>
  <c r="D61" i="4" s="1"/>
  <c r="C59" i="4"/>
  <c r="D58" i="4"/>
  <c r="C58" i="4"/>
  <c r="C57" i="4"/>
  <c r="C56" i="4"/>
  <c r="D57" i="4" s="1"/>
  <c r="C55" i="4"/>
  <c r="D54" i="4"/>
  <c r="C54" i="4"/>
  <c r="C53" i="4"/>
  <c r="C52" i="4"/>
  <c r="D53" i="4" s="1"/>
  <c r="C51" i="4"/>
  <c r="D52" i="4" s="1"/>
  <c r="C50" i="4"/>
  <c r="D51" i="4" s="1"/>
  <c r="C49" i="4"/>
  <c r="C48" i="4"/>
  <c r="C47" i="4"/>
  <c r="D47" i="4" s="1"/>
  <c r="C46" i="4"/>
  <c r="D45" i="4"/>
  <c r="C45" i="4"/>
  <c r="D46" i="4" s="1"/>
  <c r="D44" i="4"/>
  <c r="C44" i="4"/>
  <c r="C43" i="4"/>
  <c r="D43" i="4" s="1"/>
  <c r="D42" i="4"/>
  <c r="C42" i="4"/>
  <c r="C41" i="4"/>
  <c r="C40" i="4"/>
  <c r="D40" i="4" s="1"/>
  <c r="C39" i="4"/>
  <c r="D38" i="4"/>
  <c r="C38" i="4"/>
  <c r="D39" i="4" s="1"/>
  <c r="C37" i="4"/>
  <c r="C36" i="4"/>
  <c r="D37" i="4" s="1"/>
  <c r="C35" i="4"/>
  <c r="D36" i="4" s="1"/>
  <c r="C34" i="4"/>
  <c r="D35" i="4" s="1"/>
  <c r="C33" i="4"/>
  <c r="C32" i="4"/>
  <c r="D32" i="4" s="1"/>
  <c r="H31" i="4" a="1"/>
  <c r="H31" i="4" s="1"/>
  <c r="C31" i="4"/>
  <c r="C30" i="4"/>
  <c r="D31" i="4" s="1"/>
  <c r="D29" i="4"/>
  <c r="C29" i="4"/>
  <c r="C28" i="4"/>
  <c r="C27" i="4"/>
  <c r="D28" i="4" s="1"/>
  <c r="C26" i="4"/>
  <c r="D25" i="4"/>
  <c r="C25" i="4"/>
  <c r="D26" i="4" s="1"/>
  <c r="C24" i="4"/>
  <c r="C23" i="4"/>
  <c r="D24" i="4" s="1"/>
  <c r="C22" i="4"/>
  <c r="C21" i="4"/>
  <c r="D22" i="4" s="1"/>
  <c r="C20" i="4"/>
  <c r="D21" i="4" s="1"/>
  <c r="C19" i="4"/>
  <c r="C18" i="4"/>
  <c r="D19" i="4" s="1"/>
  <c r="C17" i="4"/>
  <c r="D18" i="4" s="1"/>
  <c r="C16" i="4"/>
  <c r="D17" i="4" s="1"/>
  <c r="C15" i="4"/>
  <c r="D16" i="4" s="1"/>
  <c r="C14" i="4"/>
  <c r="D15" i="4" s="1"/>
  <c r="C13" i="4"/>
  <c r="C12" i="4"/>
  <c r="D13" i="4" s="1"/>
  <c r="C11" i="4"/>
  <c r="D12" i="4" s="1"/>
  <c r="C10" i="4"/>
  <c r="D11" i="4" s="1"/>
  <c r="H9" i="4" a="1"/>
  <c r="H9" i="4" s="1"/>
  <c r="C9" i="4"/>
  <c r="D10" i="4" s="1"/>
  <c r="C8" i="4"/>
  <c r="C7" i="4"/>
  <c r="D8" i="4" s="1"/>
  <c r="C6" i="4"/>
  <c r="D7" i="4" s="1"/>
  <c r="C5" i="4"/>
  <c r="C4" i="4"/>
  <c r="C3" i="4"/>
  <c r="C2" i="4"/>
  <c r="H29" i="3"/>
  <c r="I29" i="3"/>
  <c r="J29" i="3"/>
  <c r="K29" i="3"/>
  <c r="L29" i="3"/>
  <c r="H30" i="3"/>
  <c r="I30" i="3"/>
  <c r="J30" i="3"/>
  <c r="K30" i="3"/>
  <c r="L30" i="3"/>
  <c r="H31" i="3"/>
  <c r="I31" i="3"/>
  <c r="J31" i="3"/>
  <c r="K31" i="3"/>
  <c r="L31" i="3"/>
  <c r="H32" i="3"/>
  <c r="I32" i="3"/>
  <c r="J32" i="3"/>
  <c r="K32" i="3"/>
  <c r="L32" i="3"/>
  <c r="I28" i="3"/>
  <c r="J28" i="3"/>
  <c r="K28" i="3"/>
  <c r="L28" i="3"/>
  <c r="H28" i="3"/>
  <c r="G28" i="3" a="1"/>
  <c r="G28" i="3" s="1"/>
  <c r="H27" i="3" a="1"/>
  <c r="H27" i="3" s="1"/>
  <c r="H19" i="3"/>
  <c r="H20" i="3"/>
  <c r="I20" i="3"/>
  <c r="J20" i="3"/>
  <c r="K20" i="3"/>
  <c r="L20" i="3"/>
  <c r="H21" i="3"/>
  <c r="I21" i="3"/>
  <c r="J21" i="3"/>
  <c r="K21" i="3"/>
  <c r="L21" i="3"/>
  <c r="H22" i="3"/>
  <c r="I22" i="3"/>
  <c r="J22" i="3"/>
  <c r="K22" i="3"/>
  <c r="L22" i="3"/>
  <c r="H23" i="3"/>
  <c r="I23" i="3"/>
  <c r="J23" i="3"/>
  <c r="K23" i="3"/>
  <c r="L23" i="3"/>
  <c r="I19" i="3"/>
  <c r="J19" i="3"/>
  <c r="K19" i="3"/>
  <c r="L19" i="3"/>
  <c r="G19" i="2" a="1"/>
  <c r="G19" i="2" s="1"/>
  <c r="G10" i="2" a="1"/>
  <c r="G10" i="2" s="1"/>
  <c r="H18" i="2" a="1"/>
  <c r="H18" i="2" s="1"/>
  <c r="H9" i="2" a="1"/>
  <c r="H9" i="2" s="1"/>
  <c r="H18" i="3" a="1"/>
  <c r="H18" i="3" s="1"/>
  <c r="G19" i="3" a="1"/>
  <c r="G19" i="3" s="1"/>
  <c r="G10" i="3" a="1"/>
  <c r="G10" i="3" s="1"/>
  <c r="H9" i="3" a="1"/>
  <c r="H9" i="3" s="1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" i="2"/>
  <c r="C4" i="2"/>
  <c r="C5" i="2"/>
  <c r="C6" i="2"/>
  <c r="C7" i="2"/>
  <c r="C8" i="2"/>
  <c r="C9" i="2"/>
  <c r="C10" i="2"/>
  <c r="L14" i="2" s="1" a="1"/>
  <c r="L14" i="2" s="1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2" i="2"/>
  <c r="I3" i="2" s="1"/>
  <c r="D80" i="4" l="1"/>
  <c r="D79" i="4"/>
  <c r="D64" i="4"/>
  <c r="D63" i="4"/>
  <c r="I4" i="4"/>
  <c r="I2" i="4"/>
  <c r="I3" i="4"/>
  <c r="J3" i="4" s="1"/>
  <c r="D3" i="4"/>
  <c r="I5" i="4"/>
  <c r="D84" i="4"/>
  <c r="D83" i="4"/>
  <c r="D9" i="4"/>
  <c r="D72" i="4"/>
  <c r="D71" i="4"/>
  <c r="D76" i="4"/>
  <c r="D75" i="4"/>
  <c r="D20" i="4"/>
  <c r="D33" i="4"/>
  <c r="D34" i="4"/>
  <c r="I6" i="4"/>
  <c r="D60" i="4"/>
  <c r="D59" i="4"/>
  <c r="D4" i="4"/>
  <c r="D5" i="4"/>
  <c r="D6" i="4"/>
  <c r="D14" i="4"/>
  <c r="D68" i="4"/>
  <c r="D67" i="4"/>
  <c r="D56" i="4"/>
  <c r="D55" i="4"/>
  <c r="D49" i="4"/>
  <c r="D50" i="4"/>
  <c r="D27" i="4"/>
  <c r="D23" i="4"/>
  <c r="D41" i="4"/>
  <c r="D48" i="4"/>
  <c r="D30" i="4"/>
  <c r="I5" i="3"/>
  <c r="I6" i="3"/>
  <c r="K13" i="3" a="1"/>
  <c r="K13" i="3" s="1"/>
  <c r="H10" i="3" a="1"/>
  <c r="H10" i="3" s="1"/>
  <c r="L10" i="3" a="1"/>
  <c r="L10" i="3" s="1"/>
  <c r="I12" i="3" a="1"/>
  <c r="I12" i="3" s="1"/>
  <c r="J12" i="3" a="1"/>
  <c r="J12" i="3" s="1"/>
  <c r="L13" i="3" a="1"/>
  <c r="L13" i="3" s="1"/>
  <c r="H11" i="3" a="1"/>
  <c r="H11" i="3" s="1"/>
  <c r="K12" i="3" a="1"/>
  <c r="K12" i="3" s="1"/>
  <c r="H14" i="3" a="1"/>
  <c r="H14" i="3" s="1"/>
  <c r="I11" i="3" a="1"/>
  <c r="I11" i="3" s="1"/>
  <c r="I2" i="3"/>
  <c r="L12" i="3" a="1"/>
  <c r="L12" i="3" s="1"/>
  <c r="I14" i="3" a="1"/>
  <c r="I14" i="3" s="1"/>
  <c r="J11" i="3" a="1"/>
  <c r="J11" i="3" s="1"/>
  <c r="J14" i="3" a="1"/>
  <c r="J14" i="3" s="1"/>
  <c r="H13" i="3" a="1"/>
  <c r="H13" i="3" s="1"/>
  <c r="I13" i="3" a="1"/>
  <c r="I13" i="3" s="1"/>
  <c r="I3" i="3"/>
  <c r="K11" i="3" a="1"/>
  <c r="K11" i="3" s="1"/>
  <c r="I10" i="3" a="1"/>
  <c r="I10" i="3" s="1"/>
  <c r="K14" i="3" a="1"/>
  <c r="K14" i="3" s="1"/>
  <c r="L11" i="3" a="1"/>
  <c r="L11" i="3" s="1"/>
  <c r="J10" i="3" a="1"/>
  <c r="J10" i="3" s="1"/>
  <c r="L14" i="3" a="1"/>
  <c r="L14" i="3" s="1"/>
  <c r="I4" i="3"/>
  <c r="J13" i="3" a="1"/>
  <c r="J13" i="3" s="1"/>
  <c r="K10" i="3" a="1"/>
  <c r="K10" i="3" s="1"/>
  <c r="H12" i="3" a="1"/>
  <c r="H12" i="3" s="1"/>
  <c r="K14" i="2" a="1"/>
  <c r="K14" i="2" s="1"/>
  <c r="I10" i="2" a="1"/>
  <c r="I10" i="2" s="1"/>
  <c r="K11" i="2" a="1"/>
  <c r="K11" i="2" s="1"/>
  <c r="I14" i="2" a="1"/>
  <c r="I14" i="2" s="1"/>
  <c r="L13" i="2" a="1"/>
  <c r="L13" i="2" s="1"/>
  <c r="J11" i="2" a="1"/>
  <c r="J11" i="2" s="1"/>
  <c r="J14" i="2" a="1"/>
  <c r="J14" i="2" s="1"/>
  <c r="K13" i="2" a="1"/>
  <c r="K13" i="2" s="1"/>
  <c r="J13" i="2" a="1"/>
  <c r="J13" i="2" s="1"/>
  <c r="I11" i="2" a="1"/>
  <c r="I11" i="2" s="1"/>
  <c r="I12" i="2" a="1"/>
  <c r="I12" i="2" s="1"/>
  <c r="L11" i="2" a="1"/>
  <c r="L11" i="2" s="1"/>
  <c r="H14" i="2" a="1"/>
  <c r="H14" i="2" s="1"/>
  <c r="H10" i="2" a="1"/>
  <c r="H10" i="2" s="1"/>
  <c r="I13" i="2" a="1"/>
  <c r="I13" i="2" s="1"/>
  <c r="H11" i="2" a="1"/>
  <c r="H11" i="2" s="1"/>
  <c r="H13" i="2" a="1"/>
  <c r="H13" i="2" s="1"/>
  <c r="I2" i="2"/>
  <c r="K10" i="2" a="1"/>
  <c r="K10" i="2" s="1"/>
  <c r="I6" i="2"/>
  <c r="H12" i="2" a="1"/>
  <c r="H12" i="2" s="1"/>
  <c r="L12" i="2" a="1"/>
  <c r="L12" i="2" s="1"/>
  <c r="I5" i="2"/>
  <c r="K12" i="2" a="1"/>
  <c r="K12" i="2" s="1"/>
  <c r="I4" i="2"/>
  <c r="J4" i="2" s="1"/>
  <c r="L10" i="2" a="1"/>
  <c r="L10" i="2" s="1"/>
  <c r="J10" i="2" a="1"/>
  <c r="J10" i="2" s="1"/>
  <c r="J12" i="2" a="1"/>
  <c r="J12" i="2" s="1"/>
  <c r="N2" i="4" l="1" a="1"/>
  <c r="J5" i="4"/>
  <c r="J4" i="4"/>
  <c r="J2" i="4"/>
  <c r="J6" i="4"/>
  <c r="H19" i="2"/>
  <c r="L20" i="2"/>
  <c r="J22" i="2"/>
  <c r="I23" i="2"/>
  <c r="I19" i="2"/>
  <c r="J2" i="3"/>
  <c r="J4" i="3"/>
  <c r="J6" i="3"/>
  <c r="J3" i="3"/>
  <c r="J5" i="3"/>
  <c r="H23" i="2"/>
  <c r="J21" i="2"/>
  <c r="J19" i="2"/>
  <c r="I21" i="2"/>
  <c r="L19" i="2"/>
  <c r="I20" i="2"/>
  <c r="K22" i="2"/>
  <c r="J23" i="2"/>
  <c r="J20" i="2"/>
  <c r="L22" i="2"/>
  <c r="L21" i="2"/>
  <c r="K19" i="2"/>
  <c r="K20" i="2"/>
  <c r="K21" i="2"/>
  <c r="J5" i="2"/>
  <c r="H21" i="2"/>
  <c r="J6" i="2"/>
  <c r="J2" i="2"/>
  <c r="H22" i="2"/>
  <c r="K23" i="2"/>
  <c r="H20" i="2"/>
  <c r="J3" i="2"/>
  <c r="I22" i="2"/>
  <c r="L23" i="2"/>
  <c r="O11" i="4" l="1"/>
  <c r="O9" i="4"/>
  <c r="O12" i="4"/>
  <c r="O6" i="4"/>
  <c r="O13" i="4"/>
  <c r="O17" i="4"/>
  <c r="O19" i="4"/>
  <c r="O20" i="4"/>
  <c r="O5" i="4"/>
  <c r="O7" i="4"/>
  <c r="O10" i="4"/>
  <c r="O18" i="4"/>
  <c r="O15" i="4"/>
  <c r="N2" i="4"/>
  <c r="O14" i="4"/>
  <c r="O16" i="4"/>
  <c r="O4" i="4"/>
  <c r="O8" i="4"/>
  <c r="O3" i="4"/>
  <c r="P15" i="4" l="1"/>
  <c r="Q15" i="4" s="1"/>
  <c r="P3" i="4"/>
  <c r="Q3" i="4" s="1"/>
  <c r="P12" i="4"/>
  <c r="Q12" i="4" s="1"/>
  <c r="P14" i="4"/>
  <c r="Q14" i="4" s="1"/>
  <c r="P7" i="4"/>
  <c r="Q7" i="4" s="1"/>
  <c r="P19" i="4"/>
  <c r="Q19" i="4" s="1"/>
  <c r="P8" i="4"/>
  <c r="Q8" i="4" s="1"/>
  <c r="P9" i="4"/>
  <c r="Q9" i="4" s="1"/>
  <c r="P16" i="4"/>
  <c r="Q16" i="4" s="1"/>
  <c r="G32" i="4" a="1"/>
  <c r="G32" i="4" s="1"/>
  <c r="G10" i="4" a="1"/>
  <c r="R2" i="4"/>
  <c r="O2" i="4"/>
  <c r="P2" i="4" s="1"/>
  <c r="Q2" i="4" s="1"/>
  <c r="P5" i="4" l="1"/>
  <c r="Q5" i="4" s="1"/>
  <c r="P6" i="4"/>
  <c r="Q6" i="4" s="1"/>
  <c r="P13" i="4"/>
  <c r="Q13" i="4" s="1"/>
  <c r="P20" i="4"/>
  <c r="Q20" i="4" s="1"/>
  <c r="I20" i="4" a="1"/>
  <c r="I20" i="4" s="1"/>
  <c r="I42" i="4" s="1"/>
  <c r="H18" i="4" a="1"/>
  <c r="H18" i="4" s="1"/>
  <c r="H40" i="4" s="1"/>
  <c r="K26" i="4" a="1"/>
  <c r="K26" i="4" s="1"/>
  <c r="I25" i="4" a="1"/>
  <c r="I25" i="4" s="1"/>
  <c r="I47" i="4" s="1"/>
  <c r="K22" i="4" a="1"/>
  <c r="K22" i="4" s="1"/>
  <c r="K44" i="4" s="1"/>
  <c r="I21" i="4" a="1"/>
  <c r="I21" i="4" s="1"/>
  <c r="I43" i="4" s="1"/>
  <c r="H19" i="4" a="1"/>
  <c r="H19" i="4" s="1"/>
  <c r="H20" i="4" a="1"/>
  <c r="H20" i="4" s="1"/>
  <c r="H42" i="4" s="1"/>
  <c r="L11" i="4" a="1"/>
  <c r="L11" i="4" s="1"/>
  <c r="L33" i="4" s="1"/>
  <c r="L27" i="4" a="1"/>
  <c r="L27" i="4" s="1"/>
  <c r="L49" i="4" s="1"/>
  <c r="K27" i="4" a="1"/>
  <c r="K27" i="4" s="1"/>
  <c r="I26" i="4" a="1"/>
  <c r="I26" i="4" s="1"/>
  <c r="K23" i="4" a="1"/>
  <c r="K23" i="4" s="1"/>
  <c r="K45" i="4" s="1"/>
  <c r="I22" i="4" a="1"/>
  <c r="I22" i="4" s="1"/>
  <c r="L15" i="4" a="1"/>
  <c r="L15" i="4" s="1"/>
  <c r="L14" i="4" a="1"/>
  <c r="L14" i="4" s="1"/>
  <c r="K12" i="4" a="1"/>
  <c r="K12" i="4" s="1"/>
  <c r="L28" i="4" a="1"/>
  <c r="L28" i="4" s="1"/>
  <c r="J27" i="4" a="1"/>
  <c r="J27" i="4" s="1"/>
  <c r="H26" i="4" a="1"/>
  <c r="H26" i="4" s="1"/>
  <c r="L24" i="4" a="1"/>
  <c r="L24" i="4" s="1"/>
  <c r="J23" i="4" a="1"/>
  <c r="J23" i="4" s="1"/>
  <c r="H22" i="4" a="1"/>
  <c r="H22" i="4" s="1"/>
  <c r="H44" i="4" s="1"/>
  <c r="L17" i="4" a="1"/>
  <c r="L17" i="4" s="1"/>
  <c r="L39" i="4" s="1"/>
  <c r="K15" i="4" a="1"/>
  <c r="K15" i="4" s="1"/>
  <c r="K14" i="4" a="1"/>
  <c r="K14" i="4" s="1"/>
  <c r="K36" i="4" s="1"/>
  <c r="H27" i="4" a="1"/>
  <c r="H27" i="4" s="1"/>
  <c r="H49" i="4" s="1"/>
  <c r="J24" i="4" a="1"/>
  <c r="J24" i="4" s="1"/>
  <c r="L21" i="4" a="1"/>
  <c r="L21" i="4" s="1"/>
  <c r="J17" i="4" a="1"/>
  <c r="J17" i="4" s="1"/>
  <c r="I14" i="4" a="1"/>
  <c r="I14" i="4" s="1"/>
  <c r="K20" i="4" a="1"/>
  <c r="K20" i="4" s="1"/>
  <c r="I16" i="4" a="1"/>
  <c r="I16" i="4" s="1"/>
  <c r="K25" i="4" a="1"/>
  <c r="K25" i="4" s="1"/>
  <c r="K21" i="4" a="1"/>
  <c r="K21" i="4" s="1"/>
  <c r="I17" i="4" a="1"/>
  <c r="I17" i="4" s="1"/>
  <c r="H14" i="4" a="1"/>
  <c r="H14" i="4" s="1"/>
  <c r="G10" i="4"/>
  <c r="J28" i="4" a="1"/>
  <c r="J28" i="4" s="1"/>
  <c r="L25" i="4" a="1"/>
  <c r="L25" i="4" s="1"/>
  <c r="L47" i="4" s="1"/>
  <c r="H23" i="4" a="1"/>
  <c r="H23" i="4" s="1"/>
  <c r="K19" i="4" a="1"/>
  <c r="K19" i="4" s="1"/>
  <c r="K41" i="4" s="1"/>
  <c r="I15" i="4" a="1"/>
  <c r="I15" i="4" s="1"/>
  <c r="I37" i="4" s="1"/>
  <c r="H12" i="4" a="1"/>
  <c r="H12" i="4" s="1"/>
  <c r="J18" i="4" a="1"/>
  <c r="J18" i="4" s="1"/>
  <c r="H13" i="4" a="1"/>
  <c r="H13" i="4" s="1"/>
  <c r="I28" i="4" a="1"/>
  <c r="I28" i="4" s="1"/>
  <c r="I24" i="4" a="1"/>
  <c r="I24" i="4" s="1"/>
  <c r="J19" i="4" a="1"/>
  <c r="J19" i="4" s="1"/>
  <c r="H15" i="4" a="1"/>
  <c r="H15" i="4" s="1"/>
  <c r="J22" i="4" a="1"/>
  <c r="J22" i="4" s="1"/>
  <c r="I19" i="4" a="1"/>
  <c r="I19" i="4" s="1"/>
  <c r="H16" i="4" a="1"/>
  <c r="H16" i="4" s="1"/>
  <c r="K11" i="4" a="1"/>
  <c r="K11" i="4" s="1"/>
  <c r="L13" i="4" a="1"/>
  <c r="L13" i="4" s="1"/>
  <c r="L16" i="4" a="1"/>
  <c r="L16" i="4" s="1"/>
  <c r="L38" i="4" s="1"/>
  <c r="L12" i="4" a="1"/>
  <c r="L12" i="4" s="1"/>
  <c r="J21" i="4" a="1"/>
  <c r="J21" i="4" s="1"/>
  <c r="J43" i="4" s="1"/>
  <c r="H28" i="4" a="1"/>
  <c r="H28" i="4" s="1"/>
  <c r="H50" i="4" s="1"/>
  <c r="L22" i="4" a="1"/>
  <c r="L22" i="4" s="1"/>
  <c r="J25" i="4" a="1"/>
  <c r="J25" i="4" s="1"/>
  <c r="H17" i="4" a="1"/>
  <c r="H17" i="4" s="1"/>
  <c r="K13" i="4" a="1"/>
  <c r="K13" i="4" s="1"/>
  <c r="H25" i="4" a="1"/>
  <c r="H25" i="4" s="1"/>
  <c r="H24" i="4" a="1"/>
  <c r="H24" i="4" s="1"/>
  <c r="I18" i="4" a="1"/>
  <c r="I18" i="4" s="1"/>
  <c r="J12" i="4" a="1"/>
  <c r="J12" i="4" s="1"/>
  <c r="H21" i="4" a="1"/>
  <c r="H21" i="4" s="1"/>
  <c r="J20" i="4" a="1"/>
  <c r="J20" i="4" s="1"/>
  <c r="J42" i="4" s="1"/>
  <c r="J11" i="4" a="1"/>
  <c r="J11" i="4" s="1"/>
  <c r="J26" i="4" a="1"/>
  <c r="J26" i="4" s="1"/>
  <c r="L23" i="4" a="1"/>
  <c r="L23" i="4" s="1"/>
  <c r="L45" i="4" s="1"/>
  <c r="L26" i="4" a="1"/>
  <c r="L26" i="4" s="1"/>
  <c r="L48" i="4" s="1"/>
  <c r="L18" i="4" a="1"/>
  <c r="L18" i="4" s="1"/>
  <c r="L40" i="4" s="1"/>
  <c r="I13" i="4" a="1"/>
  <c r="I13" i="4" s="1"/>
  <c r="I35" i="4" s="1"/>
  <c r="J16" i="4" a="1"/>
  <c r="J16" i="4" s="1"/>
  <c r="I27" i="4" a="1"/>
  <c r="I27" i="4" s="1"/>
  <c r="I23" i="4" a="1"/>
  <c r="I23" i="4" s="1"/>
  <c r="K17" i="4" a="1"/>
  <c r="K17" i="4" s="1"/>
  <c r="J14" i="4" a="1"/>
  <c r="J14" i="4" s="1"/>
  <c r="K16" i="4" a="1"/>
  <c r="K16" i="4" s="1"/>
  <c r="L20" i="4" a="1"/>
  <c r="L20" i="4" s="1"/>
  <c r="J13" i="4" a="1"/>
  <c r="J13" i="4" s="1"/>
  <c r="H11" i="4" a="1"/>
  <c r="H11" i="4" s="1"/>
  <c r="K28" i="4" a="1"/>
  <c r="K28" i="4" s="1"/>
  <c r="K24" i="4" a="1"/>
  <c r="K24" i="4" s="1"/>
  <c r="K46" i="4" s="1"/>
  <c r="L19" i="4" a="1"/>
  <c r="L19" i="4" s="1"/>
  <c r="J15" i="4" a="1"/>
  <c r="J15" i="4" s="1"/>
  <c r="I12" i="4" a="1"/>
  <c r="I12" i="4" s="1"/>
  <c r="I34" i="4" s="1"/>
  <c r="I11" i="4" a="1"/>
  <c r="I11" i="4" s="1"/>
  <c r="I33" i="4" s="1"/>
  <c r="K18" i="4" a="1"/>
  <c r="K18" i="4" s="1"/>
  <c r="P10" i="4"/>
  <c r="Q10" i="4" s="1"/>
  <c r="P17" i="4"/>
  <c r="Q17" i="4" s="1"/>
  <c r="P11" i="4"/>
  <c r="Q11" i="4" s="1"/>
  <c r="P4" i="4"/>
  <c r="Q4" i="4" s="1"/>
  <c r="R14" i="4" s="1"/>
  <c r="P18" i="4"/>
  <c r="Q18" i="4" s="1"/>
  <c r="K49" i="4" l="1"/>
  <c r="J50" i="4"/>
  <c r="H41" i="4"/>
  <c r="J37" i="4"/>
  <c r="L41" i="4"/>
  <c r="K50" i="4"/>
  <c r="I41" i="4"/>
  <c r="J44" i="4"/>
  <c r="K43" i="4"/>
  <c r="J49" i="4"/>
  <c r="K48" i="4"/>
  <c r="L36" i="4"/>
  <c r="K40" i="4"/>
  <c r="L34" i="4"/>
  <c r="L35" i="4"/>
  <c r="K33" i="4"/>
  <c r="L10" i="4" a="1"/>
  <c r="L10" i="4" s="1"/>
  <c r="J10" i="4" a="1"/>
  <c r="J10" i="4" s="1"/>
  <c r="K10" i="4" a="1"/>
  <c r="K10" i="4" s="1"/>
  <c r="I10" i="4" a="1"/>
  <c r="I10" i="4" s="1"/>
  <c r="H10" i="4" a="1"/>
  <c r="H10" i="4" s="1"/>
  <c r="H32" i="4" s="1"/>
  <c r="H36" i="4"/>
  <c r="H33" i="4"/>
  <c r="J35" i="4"/>
  <c r="I40" i="4"/>
  <c r="L50" i="4"/>
  <c r="J41" i="4"/>
  <c r="J36" i="4"/>
  <c r="I46" i="4"/>
  <c r="K39" i="4"/>
  <c r="I50" i="4"/>
  <c r="I36" i="4"/>
  <c r="L37" i="4"/>
  <c r="H45" i="4"/>
  <c r="J45" i="4"/>
  <c r="H38" i="4"/>
  <c r="H43" i="4"/>
  <c r="H48" i="4"/>
  <c r="L42" i="4"/>
  <c r="K47" i="4"/>
  <c r="H46" i="4"/>
  <c r="I38" i="4"/>
  <c r="H47" i="4"/>
  <c r="K42" i="4"/>
  <c r="K35" i="4"/>
  <c r="I45" i="4"/>
  <c r="H39" i="4"/>
  <c r="H35" i="4"/>
  <c r="J39" i="4"/>
  <c r="I44" i="4"/>
  <c r="K37" i="4"/>
  <c r="J48" i="4"/>
  <c r="J33" i="4"/>
  <c r="L46" i="4"/>
  <c r="I39" i="4"/>
  <c r="J34" i="4"/>
  <c r="H37" i="4"/>
  <c r="K38" i="4"/>
  <c r="K34" i="4"/>
  <c r="I49" i="4"/>
  <c r="J47" i="4"/>
  <c r="J40" i="4"/>
  <c r="L43" i="4"/>
  <c r="J38" i="4"/>
  <c r="L44" i="4"/>
  <c r="H34" i="4"/>
  <c r="J46" i="4"/>
  <c r="I48" i="4"/>
  <c r="K32" i="4" l="1"/>
  <c r="J32" i="4"/>
  <c r="I32" i="4"/>
  <c r="L3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<sst xmlns="http://schemas.openxmlformats.org/spreadsheetml/2006/main" count="55" uniqueCount="30">
  <si>
    <t>year</t>
  </si>
  <si>
    <t>real data</t>
  </si>
  <si>
    <t>drought</t>
  </si>
  <si>
    <t>normal</t>
  </si>
  <si>
    <t>good</t>
  </si>
  <si>
    <t>great</t>
  </si>
  <si>
    <t>exceptional</t>
  </si>
  <si>
    <t>This year</t>
  </si>
  <si>
    <t>Next Year</t>
  </si>
  <si>
    <t>Definition</t>
  </si>
  <si>
    <t>count</t>
  </si>
  <si>
    <t>probability</t>
  </si>
  <si>
    <t>smoothing</t>
  </si>
  <si>
    <t>Classification</t>
  </si>
  <si>
    <t>0-490</t>
  </si>
  <si>
    <t>490-640</t>
  </si>
  <si>
    <t>640-780</t>
  </si>
  <si>
    <t>780-880</t>
  </si>
  <si>
    <t>880+</t>
  </si>
  <si>
    <t xml:space="preserve">I balanced the definition to be all 20%, so any prediction close to 20% has little meaning. </t>
  </si>
  <si>
    <t>Subtracting 20% from each prediction</t>
  </si>
  <si>
    <t>Definition2</t>
  </si>
  <si>
    <t>aim</t>
  </si>
  <si>
    <t>[0-273]</t>
  </si>
  <si>
    <t>[273-552]</t>
  </si>
  <si>
    <t>[552-720]</t>
  </si>
  <si>
    <t>[720-875]</t>
  </si>
  <si>
    <t>[875+]</t>
  </si>
  <si>
    <t>next year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</si>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</sst>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د.ع.‏&quot;* #,##0.00_ ;_ &quot;د.ع.‏&quot;* \-#,##0.00_ ;_ &quot;د.ع.‏&quot;* &quot;-&quot;??_ ;_ @_ "/>
    <numFmt numFmtId="164" formatCode="0.0%"/>
  </numFmts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/>
    <xf numFmtId="9" fontId="0" fillId="0" borderId="0" xfId="2" applyNumberFormat="1" applyFont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44" fontId="0" fillId="4" borderId="0" xfId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5" borderId="0" xfId="0" applyFill="1" applyAlignment="1">
      <alignment horizontal="center"/>
    </xf>
    <xf numFmtId="0" fontId="3" fillId="0" borderId="0" xfId="0" applyFont="1" applyAlignment="1">
      <alignment vertical="top" wrapText="1"/>
    </xf>
    <xf numFmtId="164" fontId="0" fillId="0" borderId="0" xfId="2" applyNumberFormat="1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3E71-24D7-45A6-A9C7-B1A4A1DF1CC3}">
  <dimension ref="A1:L87"/>
  <sheetViews>
    <sheetView zoomScale="130" zoomScaleNormal="130" workbookViewId="0">
      <selection activeCell="H26" sqref="H26"/>
    </sheetView>
  </sheetViews>
  <sheetFormatPr defaultRowHeight="15" x14ac:dyDescent="0.25"/>
  <cols>
    <col min="1" max="1" width="5.42578125" bestFit="1" customWidth="1"/>
    <col min="2" max="2" width="9.5703125" bestFit="1" customWidth="1"/>
    <col min="3" max="3" width="12.7109375" style="1" bestFit="1" customWidth="1"/>
    <col min="4" max="4" width="14.28515625" bestFit="1" customWidth="1"/>
    <col min="6" max="6" width="9.5703125" bestFit="1" customWidth="1"/>
    <col min="7" max="8" width="11.42578125" bestFit="1" customWidth="1"/>
    <col min="10" max="10" width="10.7109375" bestFit="1" customWidth="1"/>
    <col min="12" max="12" width="11.42578125" bestFit="1" customWidth="1"/>
  </cols>
  <sheetData>
    <row r="1" spans="1:12" x14ac:dyDescent="0.25">
      <c r="A1" s="8" t="s">
        <v>0</v>
      </c>
      <c r="B1" s="9" t="s">
        <v>1</v>
      </c>
      <c r="C1" s="6" t="s">
        <v>13</v>
      </c>
      <c r="G1" s="13" t="s">
        <v>9</v>
      </c>
      <c r="H1" s="13"/>
      <c r="I1" s="5" t="s">
        <v>10</v>
      </c>
      <c r="J1" s="5" t="s">
        <v>11</v>
      </c>
    </row>
    <row r="2" spans="1:12" x14ac:dyDescent="0.25">
      <c r="A2" s="1">
        <v>1941</v>
      </c>
      <c r="B2">
        <v>780</v>
      </c>
      <c r="C2" s="1" t="str">
        <f t="shared" ref="C2:C33" si="0">LOOKUP(B2,$G$2:$G$6,$H$2:$H$6)</f>
        <v>good</v>
      </c>
      <c r="G2">
        <v>0</v>
      </c>
      <c r="H2" t="s">
        <v>2</v>
      </c>
      <c r="I2">
        <f>COUNTIF($C$2:$C$87,H2)</f>
        <v>5</v>
      </c>
      <c r="J2" s="2">
        <f>I2/SUM($I$2:$I$6)</f>
        <v>5.8139534883720929E-2</v>
      </c>
    </row>
    <row r="3" spans="1:12" x14ac:dyDescent="0.25">
      <c r="A3" s="1">
        <v>1942</v>
      </c>
      <c r="B3">
        <v>470</v>
      </c>
      <c r="C3" s="1" t="str">
        <f t="shared" si="0"/>
        <v>normal</v>
      </c>
      <c r="G3">
        <v>350</v>
      </c>
      <c r="H3" t="s">
        <v>3</v>
      </c>
      <c r="I3">
        <f t="shared" ref="I3:I6" si="1">COUNTIF($C$2:$C$87,H3)</f>
        <v>38</v>
      </c>
      <c r="J3" s="2">
        <f t="shared" ref="J3:J6" si="2">I3/SUM($I$2:$I$6)</f>
        <v>0.44186046511627908</v>
      </c>
    </row>
    <row r="4" spans="1:12" x14ac:dyDescent="0.25">
      <c r="A4" s="1">
        <v>1943</v>
      </c>
      <c r="B4">
        <v>690</v>
      </c>
      <c r="C4" s="1" t="str">
        <f t="shared" si="0"/>
        <v>normal</v>
      </c>
      <c r="G4">
        <v>700</v>
      </c>
      <c r="H4" t="s">
        <v>4</v>
      </c>
      <c r="I4">
        <f t="shared" si="1"/>
        <v>21</v>
      </c>
      <c r="J4" s="2">
        <f t="shared" si="2"/>
        <v>0.2441860465116279</v>
      </c>
    </row>
    <row r="5" spans="1:12" x14ac:dyDescent="0.25">
      <c r="A5" s="1">
        <v>1944</v>
      </c>
      <c r="B5">
        <v>640</v>
      </c>
      <c r="C5" s="1" t="str">
        <f t="shared" si="0"/>
        <v>normal</v>
      </c>
      <c r="G5">
        <v>850</v>
      </c>
      <c r="H5" t="s">
        <v>5</v>
      </c>
      <c r="I5">
        <f t="shared" si="1"/>
        <v>17</v>
      </c>
      <c r="J5" s="2">
        <f t="shared" si="2"/>
        <v>0.19767441860465115</v>
      </c>
    </row>
    <row r="6" spans="1:12" x14ac:dyDescent="0.25">
      <c r="A6" s="1">
        <v>1945</v>
      </c>
      <c r="B6">
        <v>790</v>
      </c>
      <c r="C6" s="1" t="str">
        <f t="shared" si="0"/>
        <v>good</v>
      </c>
      <c r="G6">
        <v>1000</v>
      </c>
      <c r="H6" t="s">
        <v>6</v>
      </c>
      <c r="I6">
        <f t="shared" si="1"/>
        <v>5</v>
      </c>
      <c r="J6" s="2">
        <f t="shared" si="2"/>
        <v>5.8139534883720929E-2</v>
      </c>
    </row>
    <row r="7" spans="1:12" x14ac:dyDescent="0.25">
      <c r="A7" s="1">
        <v>1946</v>
      </c>
      <c r="B7">
        <v>835</v>
      </c>
      <c r="C7" s="1" t="str">
        <f t="shared" si="0"/>
        <v>good</v>
      </c>
    </row>
    <row r="8" spans="1:12" x14ac:dyDescent="0.25">
      <c r="A8" s="1">
        <v>1947</v>
      </c>
      <c r="B8">
        <v>530</v>
      </c>
      <c r="C8" s="1" t="str">
        <f t="shared" si="0"/>
        <v>normal</v>
      </c>
      <c r="H8" s="14" t="s">
        <v>7</v>
      </c>
      <c r="I8" s="14"/>
      <c r="J8" s="14"/>
      <c r="K8" s="14"/>
      <c r="L8" s="14"/>
    </row>
    <row r="9" spans="1:12" x14ac:dyDescent="0.25">
      <c r="A9" s="1">
        <v>1948</v>
      </c>
      <c r="B9">
        <v>360</v>
      </c>
      <c r="C9" s="1" t="str">
        <f t="shared" si="0"/>
        <v>normal</v>
      </c>
      <c r="H9" s="7" t="str" cm="1">
        <f t="array" ref="H9:L9">TRANSPOSE($H$2:$H$6)</f>
        <v>drought</v>
      </c>
      <c r="I9" s="6" t="str">
        <v>normal</v>
      </c>
      <c r="J9" s="6" t="str">
        <v>good</v>
      </c>
      <c r="K9" s="6" t="str">
        <v>great</v>
      </c>
      <c r="L9" s="6" t="str">
        <v>exceptional</v>
      </c>
    </row>
    <row r="10" spans="1:12" x14ac:dyDescent="0.25">
      <c r="A10" s="1">
        <v>1949</v>
      </c>
      <c r="B10">
        <v>185</v>
      </c>
      <c r="C10" s="1" t="str">
        <f t="shared" si="0"/>
        <v>drought</v>
      </c>
      <c r="F10" s="12" t="s">
        <v>8</v>
      </c>
      <c r="G10" s="5" t="str" cm="1">
        <f t="array" ref="G10:G14">$H$2:$H$6</f>
        <v>drought</v>
      </c>
      <c r="H10" cm="1">
        <f t="array" ref="H10">SUM(($C$2:$C$100=H$9)*($C$3:$C$101=$G10))</f>
        <v>2</v>
      </c>
      <c r="I10" cm="1">
        <f t="array" ref="I10">SUM(($C$2:$C$100=I$9)*($C$3:$C$101=$G10))</f>
        <v>2</v>
      </c>
      <c r="J10" cm="1">
        <f t="array" ref="J10">SUM(($C$2:$C$100=J$9)*($C$3:$C$101=$G10))</f>
        <v>0</v>
      </c>
      <c r="K10" cm="1">
        <f t="array" ref="K10">SUM(($C$2:$C$100=K$9)*($C$3:$C$101=$G10))</f>
        <v>1</v>
      </c>
      <c r="L10" cm="1">
        <f t="array" ref="L10">SUM(($C$2:$C$100=L$9)*($C$3:$C$101=$G10))</f>
        <v>0</v>
      </c>
    </row>
    <row r="11" spans="1:12" x14ac:dyDescent="0.25">
      <c r="A11" s="1">
        <v>1950</v>
      </c>
      <c r="B11">
        <v>40</v>
      </c>
      <c r="C11" s="1" t="str">
        <f t="shared" si="0"/>
        <v>drought</v>
      </c>
      <c r="F11" s="12"/>
      <c r="G11" s="5" t="str">
        <v>normal</v>
      </c>
      <c r="H11" cm="1">
        <f t="array" ref="H11">SUM(($C$2:$C$100=H$9)*($C$3:$C$101=$G11))</f>
        <v>3</v>
      </c>
      <c r="I11" cm="1">
        <f t="array" ref="I11">SUM(($C$2:$C$100=I$9)*($C$3:$C$101=$G11))</f>
        <v>14</v>
      </c>
      <c r="J11" cm="1">
        <f t="array" ref="J11">SUM(($C$2:$C$100=J$9)*($C$3:$C$101=$G11))</f>
        <v>10</v>
      </c>
      <c r="K11" cm="1">
        <f t="array" ref="K11">SUM(($C$2:$C$100=K$9)*($C$3:$C$101=$G11))</f>
        <v>9</v>
      </c>
      <c r="L11" cm="1">
        <f t="array" ref="L11">SUM(($C$2:$C$100=L$9)*($C$3:$C$101=$G11))</f>
        <v>2</v>
      </c>
    </row>
    <row r="12" spans="1:12" x14ac:dyDescent="0.25">
      <c r="A12" s="1">
        <v>1951</v>
      </c>
      <c r="B12">
        <v>430</v>
      </c>
      <c r="C12" s="1" t="str">
        <f t="shared" si="0"/>
        <v>normal</v>
      </c>
      <c r="F12" s="12"/>
      <c r="G12" s="5" t="str">
        <v>good</v>
      </c>
      <c r="H12" cm="1">
        <f t="array" ref="H12">SUM(($C$2:$C$100=H$9)*($C$3:$C$101=$G12))</f>
        <v>0</v>
      </c>
      <c r="I12" cm="1">
        <f t="array" ref="I12">SUM(($C$2:$C$100=I$9)*($C$3:$C$101=$G12))</f>
        <v>13</v>
      </c>
      <c r="J12" cm="1">
        <f t="array" ref="J12">SUM(($C$2:$C$100=J$9)*($C$3:$C$101=$G12))</f>
        <v>6</v>
      </c>
      <c r="K12" cm="1">
        <f t="array" ref="K12">SUM(($C$2:$C$100=K$9)*($C$3:$C$101=$G12))</f>
        <v>1</v>
      </c>
      <c r="L12" cm="1">
        <f t="array" ref="L12">SUM(($C$2:$C$100=L$9)*($C$3:$C$101=$G12))</f>
        <v>0</v>
      </c>
    </row>
    <row r="13" spans="1:12" x14ac:dyDescent="0.25">
      <c r="A13" s="1">
        <v>1952</v>
      </c>
      <c r="B13">
        <v>620</v>
      </c>
      <c r="C13" s="1" t="str">
        <f t="shared" si="0"/>
        <v>normal</v>
      </c>
      <c r="F13" s="12"/>
      <c r="G13" s="5" t="str">
        <v>great</v>
      </c>
      <c r="H13" cm="1">
        <f t="array" ref="H13">SUM(($C$2:$C$100=H$9)*($C$3:$C$101=$G13))</f>
        <v>0</v>
      </c>
      <c r="I13" cm="1">
        <f t="array" ref="I13">SUM(($C$2:$C$100=I$9)*($C$3:$C$101=$G13))</f>
        <v>7</v>
      </c>
      <c r="J13" cm="1">
        <f t="array" ref="J13">SUM(($C$2:$C$100=J$9)*($C$3:$C$101=$G13))</f>
        <v>4</v>
      </c>
      <c r="K13" cm="1">
        <f t="array" ref="K13">SUM(($C$2:$C$100=K$9)*($C$3:$C$101=$G13))</f>
        <v>4</v>
      </c>
      <c r="L13" cm="1">
        <f t="array" ref="L13">SUM(($C$2:$C$100=L$9)*($C$3:$C$101=$G13))</f>
        <v>2</v>
      </c>
    </row>
    <row r="14" spans="1:12" x14ac:dyDescent="0.25">
      <c r="A14" s="1">
        <v>1953</v>
      </c>
      <c r="B14">
        <v>790</v>
      </c>
      <c r="C14" s="1" t="str">
        <f t="shared" si="0"/>
        <v>good</v>
      </c>
      <c r="F14" s="12"/>
      <c r="G14" s="5" t="str">
        <v>exceptional</v>
      </c>
      <c r="H14" cm="1">
        <f t="array" ref="H14">SUM(($C$2:$C$100=H$9)*($C$3:$C$101=$G14))</f>
        <v>0</v>
      </c>
      <c r="I14" cm="1">
        <f t="array" ref="I14">SUM(($C$2:$C$100=I$9)*($C$3:$C$101=$G14))</f>
        <v>2</v>
      </c>
      <c r="J14" cm="1">
        <f t="array" ref="J14">SUM(($C$2:$C$100=J$9)*($C$3:$C$101=$G14))</f>
        <v>1</v>
      </c>
      <c r="K14" cm="1">
        <f t="array" ref="K14">SUM(($C$2:$C$100=K$9)*($C$3:$C$101=$G14))</f>
        <v>2</v>
      </c>
      <c r="L14" cm="1">
        <f t="array" ref="L14">SUM(($C$2:$C$100=L$9)*($C$3:$C$101=$G14))</f>
        <v>0</v>
      </c>
    </row>
    <row r="15" spans="1:12" x14ac:dyDescent="0.25">
      <c r="A15" s="1">
        <v>1954</v>
      </c>
      <c r="B15">
        <v>880</v>
      </c>
      <c r="C15" s="1" t="str">
        <f t="shared" si="0"/>
        <v>great</v>
      </c>
    </row>
    <row r="16" spans="1:12" x14ac:dyDescent="0.25">
      <c r="A16" s="1">
        <v>1955</v>
      </c>
      <c r="B16">
        <v>560</v>
      </c>
      <c r="C16" s="1" t="str">
        <f t="shared" si="0"/>
        <v>normal</v>
      </c>
    </row>
    <row r="17" spans="1:12" x14ac:dyDescent="0.25">
      <c r="A17" s="1">
        <v>1956</v>
      </c>
      <c r="B17">
        <v>455</v>
      </c>
      <c r="C17" s="1" t="str">
        <f t="shared" si="0"/>
        <v>normal</v>
      </c>
      <c r="F17" s="4" t="s">
        <v>12</v>
      </c>
      <c r="H17" s="14" t="s">
        <v>7</v>
      </c>
      <c r="I17" s="14"/>
      <c r="J17" s="14"/>
      <c r="K17" s="14"/>
      <c r="L17" s="14"/>
    </row>
    <row r="18" spans="1:12" x14ac:dyDescent="0.25">
      <c r="A18" s="1">
        <v>1957</v>
      </c>
      <c r="B18">
        <v>1240</v>
      </c>
      <c r="C18" s="1" t="str">
        <f t="shared" si="0"/>
        <v>exceptional</v>
      </c>
      <c r="F18" s="4">
        <v>0</v>
      </c>
      <c r="H18" s="7" t="str" cm="1">
        <f t="array" ref="H18:L18">TRANSPOSE($H$2:$H$6)</f>
        <v>drought</v>
      </c>
      <c r="I18" s="6" t="str">
        <v>normal</v>
      </c>
      <c r="J18" s="6" t="str">
        <v>good</v>
      </c>
      <c r="K18" s="6" t="str">
        <v>great</v>
      </c>
      <c r="L18" s="6" t="str">
        <v>exceptional</v>
      </c>
    </row>
    <row r="19" spans="1:12" x14ac:dyDescent="0.25">
      <c r="A19" s="1">
        <v>1958</v>
      </c>
      <c r="B19">
        <v>410</v>
      </c>
      <c r="C19" s="1" t="str">
        <f t="shared" si="0"/>
        <v>normal</v>
      </c>
      <c r="F19" s="12" t="s">
        <v>8</v>
      </c>
      <c r="G19" s="5" t="str" cm="1">
        <f t="array" ref="G19:G23">$H$2:$H$6</f>
        <v>drought</v>
      </c>
      <c r="H19" s="3">
        <f>(H10+$F$18)/(SUM(H$10:H$14)+COUNT($H$10:$H$14)*$F$18)</f>
        <v>0.4</v>
      </c>
      <c r="I19" s="3">
        <f t="shared" ref="I19:L19" si="3">(I10+$F$18)/(SUM(I$10:I$14)+COUNT($H$10:$H$14)*$F$18)</f>
        <v>5.2631578947368418E-2</v>
      </c>
      <c r="J19" s="3">
        <f t="shared" si="3"/>
        <v>0</v>
      </c>
      <c r="K19" s="3">
        <f t="shared" si="3"/>
        <v>5.8823529411764705E-2</v>
      </c>
      <c r="L19" s="3">
        <f t="shared" si="3"/>
        <v>0</v>
      </c>
    </row>
    <row r="20" spans="1:12" x14ac:dyDescent="0.25">
      <c r="A20" s="1">
        <v>1959</v>
      </c>
      <c r="B20">
        <v>580</v>
      </c>
      <c r="C20" s="1" t="str">
        <f t="shared" si="0"/>
        <v>normal</v>
      </c>
      <c r="F20" s="12"/>
      <c r="G20" s="5" t="str">
        <v>normal</v>
      </c>
      <c r="H20" s="3">
        <f t="shared" ref="H20:L20" si="4">(H11+$F$18)/(SUM(H$10:H$14)+COUNT($H$10:$H$14)*$F$18)</f>
        <v>0.6</v>
      </c>
      <c r="I20" s="3">
        <f t="shared" si="4"/>
        <v>0.36842105263157893</v>
      </c>
      <c r="J20" s="3">
        <f t="shared" si="4"/>
        <v>0.47619047619047616</v>
      </c>
      <c r="K20" s="3">
        <f t="shared" si="4"/>
        <v>0.52941176470588236</v>
      </c>
      <c r="L20" s="3">
        <f t="shared" si="4"/>
        <v>0.5</v>
      </c>
    </row>
    <row r="21" spans="1:12" x14ac:dyDescent="0.25">
      <c r="A21" s="1">
        <v>1960</v>
      </c>
      <c r="B21">
        <v>490</v>
      </c>
      <c r="C21" s="1" t="str">
        <f t="shared" si="0"/>
        <v>normal</v>
      </c>
      <c r="F21" s="12"/>
      <c r="G21" s="5" t="str">
        <v>good</v>
      </c>
      <c r="H21" s="3">
        <f t="shared" ref="H21:L21" si="5">(H12+$F$18)/(SUM(H$10:H$14)+COUNT($H$10:$H$14)*$F$18)</f>
        <v>0</v>
      </c>
      <c r="I21" s="3">
        <f t="shared" si="5"/>
        <v>0.34210526315789475</v>
      </c>
      <c r="J21" s="3">
        <f t="shared" si="5"/>
        <v>0.2857142857142857</v>
      </c>
      <c r="K21" s="3">
        <f t="shared" si="5"/>
        <v>5.8823529411764705E-2</v>
      </c>
      <c r="L21" s="3">
        <f t="shared" si="5"/>
        <v>0</v>
      </c>
    </row>
    <row r="22" spans="1:12" x14ac:dyDescent="0.25">
      <c r="A22" s="1">
        <v>1961</v>
      </c>
      <c r="B22">
        <v>820</v>
      </c>
      <c r="C22" s="1" t="str">
        <f t="shared" si="0"/>
        <v>good</v>
      </c>
      <c r="F22" s="12"/>
      <c r="G22" s="5" t="str">
        <v>great</v>
      </c>
      <c r="H22" s="3">
        <f t="shared" ref="H22:L22" si="6">(H13+$F$18)/(SUM(H$10:H$14)+COUNT($H$10:$H$14)*$F$18)</f>
        <v>0</v>
      </c>
      <c r="I22" s="3">
        <f t="shared" si="6"/>
        <v>0.18421052631578946</v>
      </c>
      <c r="J22" s="3">
        <f t="shared" si="6"/>
        <v>0.19047619047619047</v>
      </c>
      <c r="K22" s="3">
        <f t="shared" si="6"/>
        <v>0.23529411764705882</v>
      </c>
      <c r="L22" s="3">
        <f t="shared" si="6"/>
        <v>0.5</v>
      </c>
    </row>
    <row r="23" spans="1:12" x14ac:dyDescent="0.25">
      <c r="A23" s="1">
        <v>1962</v>
      </c>
      <c r="B23">
        <v>530</v>
      </c>
      <c r="C23" s="1" t="str">
        <f t="shared" si="0"/>
        <v>normal</v>
      </c>
      <c r="F23" s="12"/>
      <c r="G23" s="5" t="str">
        <v>exceptional</v>
      </c>
      <c r="H23" s="3">
        <f t="shared" ref="H23:L23" si="7">(H14+$F$18)/(SUM(H$10:H$14)+COUNT($H$10:$H$14)*$F$18)</f>
        <v>0</v>
      </c>
      <c r="I23" s="3">
        <f t="shared" si="7"/>
        <v>5.2631578947368418E-2</v>
      </c>
      <c r="J23" s="3">
        <f t="shared" si="7"/>
        <v>4.7619047619047616E-2</v>
      </c>
      <c r="K23" s="3">
        <f t="shared" si="7"/>
        <v>0.11764705882352941</v>
      </c>
      <c r="L23" s="3">
        <f t="shared" si="7"/>
        <v>0</v>
      </c>
    </row>
    <row r="24" spans="1:12" x14ac:dyDescent="0.25">
      <c r="A24" s="1">
        <v>1963</v>
      </c>
      <c r="B24">
        <v>980</v>
      </c>
      <c r="C24" s="1" t="str">
        <f t="shared" si="0"/>
        <v>great</v>
      </c>
    </row>
    <row r="25" spans="1:12" x14ac:dyDescent="0.25">
      <c r="A25" s="1">
        <v>1964</v>
      </c>
      <c r="B25">
        <v>490</v>
      </c>
      <c r="C25" s="1" t="str">
        <f t="shared" si="0"/>
        <v>normal</v>
      </c>
    </row>
    <row r="26" spans="1:12" x14ac:dyDescent="0.25">
      <c r="A26" s="1">
        <v>1965</v>
      </c>
      <c r="B26">
        <v>490</v>
      </c>
      <c r="C26" s="1" t="str">
        <f t="shared" si="0"/>
        <v>normal</v>
      </c>
    </row>
    <row r="27" spans="1:12" x14ac:dyDescent="0.25">
      <c r="A27" s="1">
        <v>1966</v>
      </c>
      <c r="B27">
        <v>385</v>
      </c>
      <c r="C27" s="1" t="str">
        <f t="shared" si="0"/>
        <v>normal</v>
      </c>
    </row>
    <row r="28" spans="1:12" x14ac:dyDescent="0.25">
      <c r="A28" s="1">
        <v>1967</v>
      </c>
      <c r="B28">
        <v>670</v>
      </c>
      <c r="C28" s="1" t="str">
        <f t="shared" si="0"/>
        <v>normal</v>
      </c>
    </row>
    <row r="29" spans="1:12" x14ac:dyDescent="0.25">
      <c r="A29" s="1">
        <v>1968</v>
      </c>
      <c r="B29">
        <v>795</v>
      </c>
      <c r="C29" s="1" t="str">
        <f t="shared" si="0"/>
        <v>good</v>
      </c>
    </row>
    <row r="30" spans="1:12" x14ac:dyDescent="0.25">
      <c r="A30" s="1">
        <v>1969</v>
      </c>
      <c r="B30">
        <v>1135</v>
      </c>
      <c r="C30" s="1" t="str">
        <f t="shared" si="0"/>
        <v>exceptional</v>
      </c>
    </row>
    <row r="31" spans="1:12" x14ac:dyDescent="0.25">
      <c r="A31" s="1">
        <v>1970</v>
      </c>
      <c r="B31">
        <v>430</v>
      </c>
      <c r="C31" s="1" t="str">
        <f t="shared" si="0"/>
        <v>normal</v>
      </c>
    </row>
    <row r="32" spans="1:12" x14ac:dyDescent="0.25">
      <c r="A32" s="1">
        <v>1971</v>
      </c>
      <c r="B32">
        <v>770</v>
      </c>
      <c r="C32" s="1" t="str">
        <f t="shared" si="0"/>
        <v>good</v>
      </c>
    </row>
    <row r="33" spans="1:3" x14ac:dyDescent="0.25">
      <c r="A33" s="1">
        <v>1972</v>
      </c>
      <c r="B33">
        <v>820</v>
      </c>
      <c r="C33" s="1" t="str">
        <f t="shared" si="0"/>
        <v>good</v>
      </c>
    </row>
    <row r="34" spans="1:3" x14ac:dyDescent="0.25">
      <c r="A34" s="1">
        <v>1973</v>
      </c>
      <c r="B34">
        <v>585</v>
      </c>
      <c r="C34" s="1" t="str">
        <f t="shared" ref="C34:C65" si="8">LOOKUP(B34,$G$2:$G$6,$H$2:$H$6)</f>
        <v>normal</v>
      </c>
    </row>
    <row r="35" spans="1:3" x14ac:dyDescent="0.25">
      <c r="A35" s="1">
        <v>1974</v>
      </c>
      <c r="B35">
        <v>995</v>
      </c>
      <c r="C35" s="1" t="str">
        <f t="shared" si="8"/>
        <v>great</v>
      </c>
    </row>
    <row r="36" spans="1:3" x14ac:dyDescent="0.25">
      <c r="A36" s="1">
        <v>1975</v>
      </c>
      <c r="B36">
        <v>660</v>
      </c>
      <c r="C36" s="1" t="str">
        <f t="shared" si="8"/>
        <v>normal</v>
      </c>
    </row>
    <row r="37" spans="1:3" x14ac:dyDescent="0.25">
      <c r="A37" s="1">
        <v>1976</v>
      </c>
      <c r="B37">
        <v>750</v>
      </c>
      <c r="C37" s="1" t="str">
        <f t="shared" si="8"/>
        <v>good</v>
      </c>
    </row>
    <row r="38" spans="1:3" x14ac:dyDescent="0.25">
      <c r="A38" s="1">
        <v>1977</v>
      </c>
      <c r="B38">
        <v>650</v>
      </c>
      <c r="C38" s="1" t="str">
        <f t="shared" si="8"/>
        <v>normal</v>
      </c>
    </row>
    <row r="39" spans="1:3" x14ac:dyDescent="0.25">
      <c r="A39" s="1">
        <v>1978</v>
      </c>
      <c r="B39">
        <v>700</v>
      </c>
      <c r="C39" s="1" t="str">
        <f t="shared" si="8"/>
        <v>good</v>
      </c>
    </row>
    <row r="40" spans="1:3" x14ac:dyDescent="0.25">
      <c r="A40" s="1">
        <v>1979</v>
      </c>
      <c r="B40">
        <v>680</v>
      </c>
      <c r="C40" s="1" t="str">
        <f t="shared" si="8"/>
        <v>normal</v>
      </c>
    </row>
    <row r="41" spans="1:3" x14ac:dyDescent="0.25">
      <c r="A41" s="1">
        <v>1980</v>
      </c>
      <c r="B41">
        <v>570</v>
      </c>
      <c r="C41" s="1" t="str">
        <f t="shared" si="8"/>
        <v>normal</v>
      </c>
    </row>
    <row r="42" spans="1:3" x14ac:dyDescent="0.25">
      <c r="A42" s="1">
        <v>1981</v>
      </c>
      <c r="B42">
        <v>780</v>
      </c>
      <c r="C42" s="1" t="str">
        <f t="shared" si="8"/>
        <v>good</v>
      </c>
    </row>
    <row r="43" spans="1:3" x14ac:dyDescent="0.25">
      <c r="A43" s="1">
        <v>1982</v>
      </c>
      <c r="B43">
        <v>970</v>
      </c>
      <c r="C43" s="1" t="str">
        <f t="shared" si="8"/>
        <v>great</v>
      </c>
    </row>
    <row r="44" spans="1:3" x14ac:dyDescent="0.25">
      <c r="A44" s="1">
        <v>1983</v>
      </c>
      <c r="B44">
        <v>485</v>
      </c>
      <c r="C44" s="1" t="str">
        <f t="shared" si="8"/>
        <v>normal</v>
      </c>
    </row>
    <row r="45" spans="1:3" x14ac:dyDescent="0.25">
      <c r="A45" s="1">
        <v>1984</v>
      </c>
      <c r="B45">
        <v>705</v>
      </c>
      <c r="C45" s="1" t="str">
        <f t="shared" si="8"/>
        <v>good</v>
      </c>
    </row>
    <row r="46" spans="1:3" x14ac:dyDescent="0.25">
      <c r="A46" s="1">
        <v>1985</v>
      </c>
      <c r="B46">
        <v>715</v>
      </c>
      <c r="C46" s="1" t="str">
        <f t="shared" si="8"/>
        <v>good</v>
      </c>
    </row>
    <row r="47" spans="1:3" x14ac:dyDescent="0.25">
      <c r="A47" s="1">
        <v>1986</v>
      </c>
      <c r="B47">
        <v>725</v>
      </c>
      <c r="C47" s="1" t="str">
        <f t="shared" si="8"/>
        <v>good</v>
      </c>
    </row>
    <row r="48" spans="1:3" x14ac:dyDescent="0.25">
      <c r="A48" s="1">
        <v>1987</v>
      </c>
      <c r="B48">
        <v>750</v>
      </c>
      <c r="C48" s="1" t="str">
        <f t="shared" si="8"/>
        <v>good</v>
      </c>
    </row>
    <row r="49" spans="1:3" x14ac:dyDescent="0.25">
      <c r="A49" s="1">
        <v>1988</v>
      </c>
      <c r="B49">
        <v>902</v>
      </c>
      <c r="C49" s="1" t="str">
        <f t="shared" si="8"/>
        <v>great</v>
      </c>
    </row>
    <row r="50" spans="1:3" x14ac:dyDescent="0.25">
      <c r="A50" s="1">
        <v>1989</v>
      </c>
      <c r="B50">
        <v>498</v>
      </c>
      <c r="C50" s="1" t="str">
        <f t="shared" si="8"/>
        <v>normal</v>
      </c>
    </row>
    <row r="51" spans="1:3" x14ac:dyDescent="0.25">
      <c r="A51" s="1">
        <v>1990</v>
      </c>
      <c r="B51">
        <v>945</v>
      </c>
      <c r="C51" s="1" t="str">
        <f t="shared" si="8"/>
        <v>great</v>
      </c>
    </row>
    <row r="52" spans="1:3" x14ac:dyDescent="0.25">
      <c r="A52" s="1">
        <v>1991</v>
      </c>
      <c r="B52">
        <v>935</v>
      </c>
      <c r="C52" s="1" t="str">
        <f t="shared" si="8"/>
        <v>great</v>
      </c>
    </row>
    <row r="53" spans="1:3" x14ac:dyDescent="0.25">
      <c r="A53" s="1">
        <v>1992</v>
      </c>
      <c r="B53">
        <v>1002</v>
      </c>
      <c r="C53" s="1" t="str">
        <f t="shared" si="8"/>
        <v>exceptional</v>
      </c>
    </row>
    <row r="54" spans="1:3" x14ac:dyDescent="0.25">
      <c r="A54" s="1">
        <v>1993</v>
      </c>
      <c r="B54">
        <v>880</v>
      </c>
      <c r="C54" s="1" t="str">
        <f t="shared" si="8"/>
        <v>great</v>
      </c>
    </row>
    <row r="55" spans="1:3" x14ac:dyDescent="0.25">
      <c r="A55" s="1">
        <v>1994</v>
      </c>
      <c r="B55">
        <v>960</v>
      </c>
      <c r="C55" s="1" t="str">
        <f t="shared" si="8"/>
        <v>great</v>
      </c>
    </row>
    <row r="56" spans="1:3" x14ac:dyDescent="0.25">
      <c r="A56" s="1">
        <v>1995</v>
      </c>
      <c r="B56">
        <v>665</v>
      </c>
      <c r="C56" s="1" t="str">
        <f t="shared" si="8"/>
        <v>normal</v>
      </c>
    </row>
    <row r="57" spans="1:3" x14ac:dyDescent="0.25">
      <c r="A57" s="1">
        <v>1996</v>
      </c>
      <c r="B57">
        <v>780</v>
      </c>
      <c r="C57" s="1" t="str">
        <f t="shared" si="8"/>
        <v>good</v>
      </c>
    </row>
    <row r="58" spans="1:3" x14ac:dyDescent="0.25">
      <c r="A58" s="1">
        <v>1997</v>
      </c>
      <c r="B58">
        <v>850</v>
      </c>
      <c r="C58" s="1" t="str">
        <f t="shared" si="8"/>
        <v>great</v>
      </c>
    </row>
    <row r="59" spans="1:3" x14ac:dyDescent="0.25">
      <c r="A59" s="1">
        <v>1998</v>
      </c>
      <c r="B59">
        <v>620</v>
      </c>
      <c r="C59" s="1" t="str">
        <f t="shared" si="8"/>
        <v>normal</v>
      </c>
    </row>
    <row r="60" spans="1:3" x14ac:dyDescent="0.25">
      <c r="A60" s="1">
        <v>1999</v>
      </c>
      <c r="B60">
        <v>330</v>
      </c>
      <c r="C60" s="1" t="str">
        <f t="shared" si="8"/>
        <v>drought</v>
      </c>
    </row>
    <row r="61" spans="1:3" x14ac:dyDescent="0.25">
      <c r="A61" s="1">
        <v>2000</v>
      </c>
      <c r="B61">
        <v>270</v>
      </c>
      <c r="C61" s="1" t="str">
        <f t="shared" si="8"/>
        <v>drought</v>
      </c>
    </row>
    <row r="62" spans="1:3" x14ac:dyDescent="0.25">
      <c r="A62" s="1">
        <v>2001</v>
      </c>
      <c r="B62">
        <v>510</v>
      </c>
      <c r="C62" s="1" t="str">
        <f t="shared" si="8"/>
        <v>normal</v>
      </c>
    </row>
    <row r="63" spans="1:3" x14ac:dyDescent="0.25">
      <c r="A63" s="1">
        <v>2002</v>
      </c>
      <c r="B63">
        <v>930</v>
      </c>
      <c r="C63" s="1" t="str">
        <f t="shared" si="8"/>
        <v>great</v>
      </c>
    </row>
    <row r="64" spans="1:3" x14ac:dyDescent="0.25">
      <c r="A64" s="1">
        <v>2003</v>
      </c>
      <c r="B64">
        <v>875</v>
      </c>
      <c r="C64" s="1" t="str">
        <f t="shared" si="8"/>
        <v>great</v>
      </c>
    </row>
    <row r="65" spans="1:3" x14ac:dyDescent="0.25">
      <c r="A65" s="1">
        <v>2004</v>
      </c>
      <c r="B65">
        <v>840</v>
      </c>
      <c r="C65" s="1" t="str">
        <f t="shared" si="8"/>
        <v>good</v>
      </c>
    </row>
    <row r="66" spans="1:3" x14ac:dyDescent="0.25">
      <c r="A66" s="1">
        <v>2005</v>
      </c>
      <c r="B66">
        <v>630</v>
      </c>
      <c r="C66" s="1" t="str">
        <f t="shared" ref="C66:C87" si="9">LOOKUP(B66,$G$2:$G$6,$H$2:$H$6)</f>
        <v>normal</v>
      </c>
    </row>
    <row r="67" spans="1:3" x14ac:dyDescent="0.25">
      <c r="A67" s="1">
        <v>2006</v>
      </c>
      <c r="B67">
        <v>875</v>
      </c>
      <c r="C67" s="1" t="str">
        <f t="shared" si="9"/>
        <v>great</v>
      </c>
    </row>
    <row r="68" spans="1:3" x14ac:dyDescent="0.25">
      <c r="A68" s="1">
        <v>2007</v>
      </c>
      <c r="B68">
        <v>874</v>
      </c>
      <c r="C68" s="1" t="str">
        <f t="shared" si="9"/>
        <v>great</v>
      </c>
    </row>
    <row r="69" spans="1:3" x14ac:dyDescent="0.25">
      <c r="A69" s="1">
        <v>2008</v>
      </c>
      <c r="B69">
        <v>307</v>
      </c>
      <c r="C69" s="1" t="str">
        <f t="shared" si="9"/>
        <v>drought</v>
      </c>
    </row>
    <row r="70" spans="1:3" x14ac:dyDescent="0.25">
      <c r="A70" s="1">
        <v>2009</v>
      </c>
      <c r="B70">
        <v>415</v>
      </c>
      <c r="C70" s="1" t="str">
        <f t="shared" si="9"/>
        <v>normal</v>
      </c>
    </row>
    <row r="71" spans="1:3" x14ac:dyDescent="0.25">
      <c r="A71" s="1">
        <v>2010</v>
      </c>
      <c r="B71">
        <v>844</v>
      </c>
      <c r="C71" s="1" t="str">
        <f t="shared" si="9"/>
        <v>good</v>
      </c>
    </row>
    <row r="72" spans="1:3" x14ac:dyDescent="0.25">
      <c r="A72" s="1">
        <v>2011</v>
      </c>
      <c r="B72">
        <v>661</v>
      </c>
      <c r="C72" s="1" t="str">
        <f t="shared" si="9"/>
        <v>normal</v>
      </c>
    </row>
    <row r="73" spans="1:3" x14ac:dyDescent="0.25">
      <c r="A73" s="1">
        <v>2012</v>
      </c>
      <c r="B73">
        <v>547</v>
      </c>
      <c r="C73" s="1" t="str">
        <f t="shared" si="9"/>
        <v>normal</v>
      </c>
    </row>
    <row r="74" spans="1:3" x14ac:dyDescent="0.25">
      <c r="A74" s="1">
        <v>2013</v>
      </c>
      <c r="B74">
        <v>826</v>
      </c>
      <c r="C74" s="1" t="str">
        <f t="shared" si="9"/>
        <v>good</v>
      </c>
    </row>
    <row r="75" spans="1:3" x14ac:dyDescent="0.25">
      <c r="A75" s="1">
        <v>2014</v>
      </c>
      <c r="B75">
        <v>581</v>
      </c>
      <c r="C75" s="1" t="str">
        <f t="shared" si="9"/>
        <v>normal</v>
      </c>
    </row>
    <row r="76" spans="1:3" x14ac:dyDescent="0.25">
      <c r="A76" s="1">
        <v>2015</v>
      </c>
      <c r="B76">
        <v>691</v>
      </c>
      <c r="C76" s="1" t="str">
        <f t="shared" si="9"/>
        <v>normal</v>
      </c>
    </row>
    <row r="77" spans="1:3" x14ac:dyDescent="0.25">
      <c r="A77" s="1">
        <v>2016</v>
      </c>
      <c r="B77">
        <v>947</v>
      </c>
      <c r="C77" s="1" t="str">
        <f t="shared" si="9"/>
        <v>great</v>
      </c>
    </row>
    <row r="78" spans="1:3" x14ac:dyDescent="0.25">
      <c r="A78" s="1">
        <v>2017</v>
      </c>
      <c r="B78">
        <v>561</v>
      </c>
      <c r="C78" s="1" t="str">
        <f t="shared" si="9"/>
        <v>normal</v>
      </c>
    </row>
    <row r="79" spans="1:3" x14ac:dyDescent="0.25">
      <c r="A79" s="1">
        <v>2018</v>
      </c>
      <c r="B79">
        <v>850</v>
      </c>
      <c r="C79" s="1" t="str">
        <f t="shared" si="9"/>
        <v>great</v>
      </c>
    </row>
    <row r="80" spans="1:3" x14ac:dyDescent="0.25">
      <c r="A80" s="1">
        <v>2019</v>
      </c>
      <c r="B80">
        <v>1618</v>
      </c>
      <c r="C80" s="1" t="str">
        <f t="shared" si="9"/>
        <v>exceptional</v>
      </c>
    </row>
    <row r="81" spans="1:3" x14ac:dyDescent="0.25">
      <c r="A81" s="1">
        <v>2020</v>
      </c>
      <c r="B81">
        <v>931</v>
      </c>
      <c r="C81" s="1" t="str">
        <f t="shared" si="9"/>
        <v>great</v>
      </c>
    </row>
    <row r="82" spans="1:3" x14ac:dyDescent="0.25">
      <c r="A82" s="1">
        <v>2021</v>
      </c>
      <c r="B82">
        <v>401</v>
      </c>
      <c r="C82" s="1" t="str">
        <f t="shared" si="9"/>
        <v>normal</v>
      </c>
    </row>
    <row r="83" spans="1:3" x14ac:dyDescent="0.25">
      <c r="A83" s="1">
        <v>2022</v>
      </c>
      <c r="B83">
        <v>420</v>
      </c>
      <c r="C83" s="1" t="str">
        <f t="shared" si="9"/>
        <v>normal</v>
      </c>
    </row>
    <row r="84" spans="1:3" x14ac:dyDescent="0.25">
      <c r="A84" s="1">
        <v>2023</v>
      </c>
      <c r="B84">
        <v>781</v>
      </c>
      <c r="C84" s="1" t="str">
        <f t="shared" si="9"/>
        <v>good</v>
      </c>
    </row>
    <row r="85" spans="1:3" x14ac:dyDescent="0.25">
      <c r="A85" s="1">
        <v>2024</v>
      </c>
      <c r="B85">
        <v>724</v>
      </c>
      <c r="C85" s="1" t="str">
        <f t="shared" si="9"/>
        <v>good</v>
      </c>
    </row>
    <row r="86" spans="1:3" x14ac:dyDescent="0.25">
      <c r="A86" s="1">
        <v>2025</v>
      </c>
      <c r="B86">
        <v>350</v>
      </c>
      <c r="C86" s="1" t="str">
        <f t="shared" si="9"/>
        <v>normal</v>
      </c>
    </row>
    <row r="87" spans="1:3" x14ac:dyDescent="0.25">
      <c r="A87" s="1">
        <v>2026</v>
      </c>
      <c r="B87">
        <v>1070</v>
      </c>
      <c r="C87" s="1" t="str">
        <f t="shared" si="9"/>
        <v>exceptional</v>
      </c>
    </row>
  </sheetData>
  <mergeCells count="5">
    <mergeCell ref="F19:F23"/>
    <mergeCell ref="G1:H1"/>
    <mergeCell ref="H8:L8"/>
    <mergeCell ref="F10:F14"/>
    <mergeCell ref="H17:L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57A1-FABB-42F2-843F-7AF5619669EC}">
  <dimension ref="A1:Q87"/>
  <sheetViews>
    <sheetView topLeftCell="A10" zoomScale="130" zoomScaleNormal="130" workbookViewId="0">
      <selection activeCell="J20" sqref="J20"/>
    </sheetView>
  </sheetViews>
  <sheetFormatPr defaultRowHeight="15" x14ac:dyDescent="0.25"/>
  <cols>
    <col min="1" max="1" width="5.42578125" bestFit="1" customWidth="1"/>
    <col min="2" max="2" width="9.5703125" bestFit="1" customWidth="1"/>
    <col min="3" max="3" width="12.7109375" style="1" bestFit="1" customWidth="1"/>
    <col min="4" max="4" width="14.28515625" bestFit="1" customWidth="1"/>
    <col min="6" max="6" width="9.5703125" bestFit="1" customWidth="1"/>
    <col min="7" max="8" width="11.42578125" bestFit="1" customWidth="1"/>
    <col min="10" max="10" width="10.7109375" bestFit="1" customWidth="1"/>
    <col min="12" max="12" width="11.42578125" bestFit="1" customWidth="1"/>
  </cols>
  <sheetData>
    <row r="1" spans="1:12" x14ac:dyDescent="0.25">
      <c r="A1" s="8" t="s">
        <v>0</v>
      </c>
      <c r="B1" s="9" t="s">
        <v>1</v>
      </c>
      <c r="C1" s="7" t="s">
        <v>13</v>
      </c>
      <c r="G1" s="13" t="s">
        <v>9</v>
      </c>
      <c r="H1" s="13"/>
      <c r="I1" s="5" t="s">
        <v>10</v>
      </c>
      <c r="J1" s="5" t="s">
        <v>11</v>
      </c>
    </row>
    <row r="2" spans="1:12" x14ac:dyDescent="0.25">
      <c r="A2" s="1">
        <v>1941</v>
      </c>
      <c r="B2">
        <v>780</v>
      </c>
      <c r="C2" s="1" t="str">
        <f t="shared" ref="C2:C65" si="0">LOOKUP(B2,$G$2:$G$6,$H$2:$H$6)</f>
        <v>780-880</v>
      </c>
      <c r="G2">
        <v>0</v>
      </c>
      <c r="H2" t="s">
        <v>14</v>
      </c>
      <c r="I2">
        <f>COUNTIF($C$2:$C$87,H2)</f>
        <v>17</v>
      </c>
      <c r="J2" s="3">
        <f>I2/SUM($I$2:$I$6)</f>
        <v>0.19767441860465115</v>
      </c>
    </row>
    <row r="3" spans="1:12" x14ac:dyDescent="0.25">
      <c r="A3" s="1">
        <v>1942</v>
      </c>
      <c r="B3">
        <v>470</v>
      </c>
      <c r="C3" s="1" t="str">
        <f t="shared" si="0"/>
        <v>0-490</v>
      </c>
      <c r="G3">
        <v>490</v>
      </c>
      <c r="H3" t="s">
        <v>15</v>
      </c>
      <c r="I3">
        <f t="shared" ref="I3:I6" si="1">COUNTIF($C$2:$C$87,H3)</f>
        <v>17</v>
      </c>
      <c r="J3" s="3">
        <f t="shared" ref="J3:J6" si="2">I3/SUM($I$2:$I$6)</f>
        <v>0.19767441860465115</v>
      </c>
    </row>
    <row r="4" spans="1:12" x14ac:dyDescent="0.25">
      <c r="A4" s="1">
        <v>1943</v>
      </c>
      <c r="B4">
        <v>690</v>
      </c>
      <c r="C4" s="1" t="str">
        <f t="shared" si="0"/>
        <v>640-780</v>
      </c>
      <c r="G4">
        <v>640</v>
      </c>
      <c r="H4" t="s">
        <v>16</v>
      </c>
      <c r="I4">
        <f t="shared" si="1"/>
        <v>17</v>
      </c>
      <c r="J4" s="3">
        <f t="shared" si="2"/>
        <v>0.19767441860465115</v>
      </c>
    </row>
    <row r="5" spans="1:12" x14ac:dyDescent="0.25">
      <c r="A5" s="1">
        <v>1944</v>
      </c>
      <c r="B5">
        <v>640</v>
      </c>
      <c r="C5" s="1" t="str">
        <f t="shared" si="0"/>
        <v>640-780</v>
      </c>
      <c r="G5">
        <v>780</v>
      </c>
      <c r="H5" t="s">
        <v>17</v>
      </c>
      <c r="I5">
        <f t="shared" si="1"/>
        <v>18</v>
      </c>
      <c r="J5" s="3">
        <f t="shared" si="2"/>
        <v>0.20930232558139536</v>
      </c>
    </row>
    <row r="6" spans="1:12" x14ac:dyDescent="0.25">
      <c r="A6" s="1">
        <v>1945</v>
      </c>
      <c r="B6">
        <v>790</v>
      </c>
      <c r="C6" s="1" t="str">
        <f t="shared" si="0"/>
        <v>780-880</v>
      </c>
      <c r="G6">
        <v>880</v>
      </c>
      <c r="H6" t="s">
        <v>18</v>
      </c>
      <c r="I6">
        <f t="shared" si="1"/>
        <v>17</v>
      </c>
      <c r="J6" s="3">
        <f t="shared" si="2"/>
        <v>0.19767441860465115</v>
      </c>
    </row>
    <row r="7" spans="1:12" x14ac:dyDescent="0.25">
      <c r="A7" s="1">
        <v>1946</v>
      </c>
      <c r="B7">
        <v>835</v>
      </c>
      <c r="C7" s="1" t="str">
        <f t="shared" si="0"/>
        <v>780-880</v>
      </c>
    </row>
    <row r="8" spans="1:12" x14ac:dyDescent="0.25">
      <c r="A8" s="1">
        <v>1947</v>
      </c>
      <c r="B8">
        <v>530</v>
      </c>
      <c r="C8" s="1" t="str">
        <f t="shared" si="0"/>
        <v>490-640</v>
      </c>
      <c r="H8" s="14" t="s">
        <v>7</v>
      </c>
      <c r="I8" s="14"/>
      <c r="J8" s="14"/>
      <c r="K8" s="14"/>
      <c r="L8" s="14"/>
    </row>
    <row r="9" spans="1:12" x14ac:dyDescent="0.25">
      <c r="A9" s="1">
        <v>1948</v>
      </c>
      <c r="B9">
        <v>360</v>
      </c>
      <c r="C9" s="1" t="str">
        <f t="shared" si="0"/>
        <v>0-490</v>
      </c>
      <c r="H9" s="7" t="str" cm="1">
        <f t="array" ref="H9:L9">TRANSPOSE($H$2:$H$6)</f>
        <v>0-490</v>
      </c>
      <c r="I9" s="7" t="str">
        <v>490-640</v>
      </c>
      <c r="J9" s="7" t="str">
        <v>640-780</v>
      </c>
      <c r="K9" s="7" t="str">
        <v>780-880</v>
      </c>
      <c r="L9" s="7" t="str">
        <v>880+</v>
      </c>
    </row>
    <row r="10" spans="1:12" x14ac:dyDescent="0.25">
      <c r="A10" s="1">
        <v>1949</v>
      </c>
      <c r="B10">
        <v>185</v>
      </c>
      <c r="C10" s="1" t="str">
        <f t="shared" si="0"/>
        <v>0-490</v>
      </c>
      <c r="F10" s="12" t="s">
        <v>8</v>
      </c>
      <c r="G10" s="5" t="str" cm="1">
        <f t="array" ref="G10:G14">$H$2:$H$6</f>
        <v>0-490</v>
      </c>
      <c r="H10" cm="1">
        <f t="array" ref="H10">SUM(($C$2:$C$100=H$9)*($C$3:$C$101=$G10))</f>
        <v>6</v>
      </c>
      <c r="I10" cm="1">
        <f t="array" ref="I10">SUM(($C$2:$C$100=I$9)*($C$3:$C$101=$G10))</f>
        <v>4</v>
      </c>
      <c r="J10" cm="1">
        <f t="array" ref="J10">SUM(($C$2:$C$100=J$9)*($C$3:$C$101=$G10))</f>
        <v>1</v>
      </c>
      <c r="K10" cm="1">
        <f t="array" ref="K10">SUM(($C$2:$C$100=K$9)*($C$3:$C$101=$G10))</f>
        <v>2</v>
      </c>
      <c r="L10" cm="1">
        <f t="array" ref="L10">SUM(($C$2:$C$100=L$9)*($C$3:$C$101=$G10))</f>
        <v>4</v>
      </c>
    </row>
    <row r="11" spans="1:12" x14ac:dyDescent="0.25">
      <c r="A11" s="1">
        <v>1950</v>
      </c>
      <c r="B11">
        <v>40</v>
      </c>
      <c r="C11" s="1" t="str">
        <f t="shared" si="0"/>
        <v>0-490</v>
      </c>
      <c r="F11" s="12"/>
      <c r="G11" s="5" t="str">
        <v>490-640</v>
      </c>
      <c r="H11" cm="1">
        <f t="array" ref="H11">SUM(($C$2:$C$100=H$9)*($C$3:$C$101=$G11))</f>
        <v>3</v>
      </c>
      <c r="I11" cm="1">
        <f t="array" ref="I11">SUM(($C$2:$C$100=I$9)*($C$3:$C$101=$G11))</f>
        <v>2</v>
      </c>
      <c r="J11" cm="1">
        <f t="array" ref="J11">SUM(($C$2:$C$100=J$9)*($C$3:$C$101=$G11))</f>
        <v>2</v>
      </c>
      <c r="K11" cm="1">
        <f t="array" ref="K11">SUM(($C$2:$C$100=K$9)*($C$3:$C$101=$G11))</f>
        <v>6</v>
      </c>
      <c r="L11" cm="1">
        <f t="array" ref="L11">SUM(($C$2:$C$100=L$9)*($C$3:$C$101=$G11))</f>
        <v>4</v>
      </c>
    </row>
    <row r="12" spans="1:12" x14ac:dyDescent="0.25">
      <c r="A12" s="1">
        <v>1951</v>
      </c>
      <c r="B12">
        <v>430</v>
      </c>
      <c r="C12" s="1" t="str">
        <f t="shared" si="0"/>
        <v>0-490</v>
      </c>
      <c r="F12" s="12"/>
      <c r="G12" s="5" t="str">
        <v>640-780</v>
      </c>
      <c r="H12" cm="1">
        <f t="array" ref="H12">SUM(($C$2:$C$100=H$9)*($C$3:$C$101=$G12))</f>
        <v>4</v>
      </c>
      <c r="I12" cm="1">
        <f t="array" ref="I12">SUM(($C$2:$C$100=I$9)*($C$3:$C$101=$G12))</f>
        <v>1</v>
      </c>
      <c r="J12" cm="1">
        <f t="array" ref="J12">SUM(($C$2:$C$100=J$9)*($C$3:$C$101=$G12))</f>
        <v>8</v>
      </c>
      <c r="K12" cm="1">
        <f t="array" ref="K12">SUM(($C$2:$C$100=K$9)*($C$3:$C$101=$G12))</f>
        <v>2</v>
      </c>
      <c r="L12" cm="1">
        <f t="array" ref="L12">SUM(($C$2:$C$100=L$9)*($C$3:$C$101=$G12))</f>
        <v>2</v>
      </c>
    </row>
    <row r="13" spans="1:12" x14ac:dyDescent="0.25">
      <c r="A13" s="1">
        <v>1952</v>
      </c>
      <c r="B13">
        <v>620</v>
      </c>
      <c r="C13" s="1" t="str">
        <f t="shared" si="0"/>
        <v>490-640</v>
      </c>
      <c r="F13" s="12"/>
      <c r="G13" s="5" t="str">
        <v>780-880</v>
      </c>
      <c r="H13" cm="1">
        <f t="array" ref="H13">SUM(($C$2:$C$100=H$9)*($C$3:$C$101=$G13))</f>
        <v>2</v>
      </c>
      <c r="I13" cm="1">
        <f t="array" ref="I13">SUM(($C$2:$C$100=I$9)*($C$3:$C$101=$G13))</f>
        <v>6</v>
      </c>
      <c r="J13" cm="1">
        <f t="array" ref="J13">SUM(($C$2:$C$100=J$9)*($C$3:$C$101=$G13))</f>
        <v>4</v>
      </c>
      <c r="K13" cm="1">
        <f t="array" ref="K13">SUM(($C$2:$C$100=K$9)*($C$3:$C$101=$G13))</f>
        <v>4</v>
      </c>
      <c r="L13" cm="1">
        <f t="array" ref="L13">SUM(($C$2:$C$100=L$9)*($C$3:$C$101=$G13))</f>
        <v>1</v>
      </c>
    </row>
    <row r="14" spans="1:12" x14ac:dyDescent="0.25">
      <c r="A14" s="1">
        <v>1953</v>
      </c>
      <c r="B14">
        <v>790</v>
      </c>
      <c r="C14" s="1" t="str">
        <f t="shared" si="0"/>
        <v>780-880</v>
      </c>
      <c r="F14" s="12"/>
      <c r="G14" s="5" t="str">
        <v>880+</v>
      </c>
      <c r="H14" cm="1">
        <f t="array" ref="H14">SUM(($C$2:$C$100=H$9)*($C$3:$C$101=$G14))</f>
        <v>2</v>
      </c>
      <c r="I14" cm="1">
        <f t="array" ref="I14">SUM(($C$2:$C$100=I$9)*($C$3:$C$101=$G14))</f>
        <v>4</v>
      </c>
      <c r="J14" cm="1">
        <f t="array" ref="J14">SUM(($C$2:$C$100=J$9)*($C$3:$C$101=$G14))</f>
        <v>2</v>
      </c>
      <c r="K14" cm="1">
        <f t="array" ref="K14">SUM(($C$2:$C$100=K$9)*($C$3:$C$101=$G14))</f>
        <v>4</v>
      </c>
      <c r="L14" cm="1">
        <f t="array" ref="L14">SUM(($C$2:$C$100=L$9)*($C$3:$C$101=$G14))</f>
        <v>5</v>
      </c>
    </row>
    <row r="15" spans="1:12" x14ac:dyDescent="0.25">
      <c r="A15" s="1">
        <v>1954</v>
      </c>
      <c r="B15">
        <v>880</v>
      </c>
      <c r="C15" s="1" t="str">
        <f t="shared" si="0"/>
        <v>880+</v>
      </c>
    </row>
    <row r="16" spans="1:12" x14ac:dyDescent="0.25">
      <c r="A16" s="1">
        <v>1955</v>
      </c>
      <c r="B16">
        <v>560</v>
      </c>
      <c r="C16" s="1" t="str">
        <f t="shared" si="0"/>
        <v>490-640</v>
      </c>
    </row>
    <row r="17" spans="1:17" x14ac:dyDescent="0.25">
      <c r="A17" s="1">
        <v>1956</v>
      </c>
      <c r="B17">
        <v>455</v>
      </c>
      <c r="C17" s="1" t="str">
        <f t="shared" si="0"/>
        <v>0-490</v>
      </c>
      <c r="F17" s="10"/>
      <c r="H17" s="14" t="s">
        <v>7</v>
      </c>
      <c r="I17" s="14"/>
      <c r="J17" s="14"/>
      <c r="K17" s="14"/>
      <c r="L17" s="14"/>
    </row>
    <row r="18" spans="1:17" x14ac:dyDescent="0.25">
      <c r="A18" s="1">
        <v>1957</v>
      </c>
      <c r="B18">
        <v>1240</v>
      </c>
      <c r="C18" s="1" t="str">
        <f t="shared" si="0"/>
        <v>880+</v>
      </c>
      <c r="F18" s="10"/>
      <c r="H18" s="7" t="str" cm="1">
        <f t="array" ref="H18:L18">TRANSPOSE($H$2:$H$6)</f>
        <v>0-490</v>
      </c>
      <c r="I18" s="7" t="str">
        <v>490-640</v>
      </c>
      <c r="J18" s="7" t="str">
        <v>640-780</v>
      </c>
      <c r="K18" s="7" t="str">
        <v>780-880</v>
      </c>
      <c r="L18" s="7" t="str">
        <v>880+</v>
      </c>
    </row>
    <row r="19" spans="1:17" x14ac:dyDescent="0.25">
      <c r="A19" s="1">
        <v>1958</v>
      </c>
      <c r="B19">
        <v>410</v>
      </c>
      <c r="C19" s="1" t="str">
        <f t="shared" si="0"/>
        <v>0-490</v>
      </c>
      <c r="F19" s="12" t="s">
        <v>8</v>
      </c>
      <c r="G19" s="5" t="str" cm="1">
        <f t="array" ref="G19:G23">$H$2:$H$6</f>
        <v>0-490</v>
      </c>
      <c r="H19" s="3">
        <f>H10/SUM(H$10:H$14)</f>
        <v>0.35294117647058826</v>
      </c>
      <c r="I19" s="3">
        <f t="shared" ref="I19:L19" si="3">I10/SUM(I$10:I$14)</f>
        <v>0.23529411764705882</v>
      </c>
      <c r="J19" s="3">
        <f t="shared" si="3"/>
        <v>5.8823529411764705E-2</v>
      </c>
      <c r="K19" s="3">
        <f t="shared" si="3"/>
        <v>0.1111111111111111</v>
      </c>
      <c r="L19" s="3">
        <f t="shared" si="3"/>
        <v>0.25</v>
      </c>
      <c r="N19" s="15" t="s">
        <v>19</v>
      </c>
      <c r="O19" s="15"/>
      <c r="P19" s="15"/>
      <c r="Q19" s="15"/>
    </row>
    <row r="20" spans="1:17" x14ac:dyDescent="0.25">
      <c r="A20" s="1">
        <v>1959</v>
      </c>
      <c r="B20">
        <v>580</v>
      </c>
      <c r="C20" s="1" t="str">
        <f t="shared" si="0"/>
        <v>490-640</v>
      </c>
      <c r="F20" s="12"/>
      <c r="G20" s="5" t="str">
        <v>490-640</v>
      </c>
      <c r="H20" s="3">
        <f t="shared" ref="H20:L20" si="4">H11/SUM(H$10:H$14)</f>
        <v>0.17647058823529413</v>
      </c>
      <c r="I20" s="3">
        <f t="shared" si="4"/>
        <v>0.11764705882352941</v>
      </c>
      <c r="J20" s="3">
        <f t="shared" si="4"/>
        <v>0.11764705882352941</v>
      </c>
      <c r="K20" s="3">
        <f t="shared" si="4"/>
        <v>0.33333333333333331</v>
      </c>
      <c r="L20" s="3">
        <f t="shared" si="4"/>
        <v>0.25</v>
      </c>
      <c r="N20" s="15"/>
      <c r="O20" s="15"/>
      <c r="P20" s="15"/>
      <c r="Q20" s="15"/>
    </row>
    <row r="21" spans="1:17" x14ac:dyDescent="0.25">
      <c r="A21" s="1">
        <v>1960</v>
      </c>
      <c r="B21">
        <v>490</v>
      </c>
      <c r="C21" s="1" t="str">
        <f t="shared" si="0"/>
        <v>490-640</v>
      </c>
      <c r="F21" s="12"/>
      <c r="G21" s="5" t="str">
        <v>640-780</v>
      </c>
      <c r="H21" s="3">
        <f t="shared" ref="H21:L21" si="5">H12/SUM(H$10:H$14)</f>
        <v>0.23529411764705882</v>
      </c>
      <c r="I21" s="3">
        <f t="shared" si="5"/>
        <v>5.8823529411764705E-2</v>
      </c>
      <c r="J21" s="3">
        <f t="shared" si="5"/>
        <v>0.47058823529411764</v>
      </c>
      <c r="K21" s="3">
        <f t="shared" si="5"/>
        <v>0.1111111111111111</v>
      </c>
      <c r="L21" s="3">
        <f t="shared" si="5"/>
        <v>0.125</v>
      </c>
      <c r="N21" s="15"/>
      <c r="O21" s="15"/>
      <c r="P21" s="15"/>
      <c r="Q21" s="15"/>
    </row>
    <row r="22" spans="1:17" x14ac:dyDescent="0.25">
      <c r="A22" s="1">
        <v>1961</v>
      </c>
      <c r="B22">
        <v>820</v>
      </c>
      <c r="C22" s="1" t="str">
        <f t="shared" si="0"/>
        <v>780-880</v>
      </c>
      <c r="F22" s="12"/>
      <c r="G22" s="5" t="str">
        <v>780-880</v>
      </c>
      <c r="H22" s="3">
        <f t="shared" ref="H22:L22" si="6">H13/SUM(H$10:H$14)</f>
        <v>0.11764705882352941</v>
      </c>
      <c r="I22" s="3">
        <f t="shared" si="6"/>
        <v>0.35294117647058826</v>
      </c>
      <c r="J22" s="3">
        <f t="shared" si="6"/>
        <v>0.23529411764705882</v>
      </c>
      <c r="K22" s="3">
        <f t="shared" si="6"/>
        <v>0.22222222222222221</v>
      </c>
      <c r="L22" s="3">
        <f t="shared" si="6"/>
        <v>6.25E-2</v>
      </c>
      <c r="N22" s="15"/>
      <c r="O22" s="15"/>
      <c r="P22" s="15"/>
      <c r="Q22" s="15"/>
    </row>
    <row r="23" spans="1:17" x14ac:dyDescent="0.25">
      <c r="A23" s="1">
        <v>1962</v>
      </c>
      <c r="B23">
        <v>530</v>
      </c>
      <c r="C23" s="1" t="str">
        <f t="shared" si="0"/>
        <v>490-640</v>
      </c>
      <c r="F23" s="12"/>
      <c r="G23" s="5" t="str">
        <v>880+</v>
      </c>
      <c r="H23" s="3">
        <f t="shared" ref="H23:L23" si="7">H14/SUM(H$10:H$14)</f>
        <v>0.11764705882352941</v>
      </c>
      <c r="I23" s="3">
        <f t="shared" si="7"/>
        <v>0.23529411764705882</v>
      </c>
      <c r="J23" s="3">
        <f t="shared" si="7"/>
        <v>0.11764705882352941</v>
      </c>
      <c r="K23" s="3">
        <f t="shared" si="7"/>
        <v>0.22222222222222221</v>
      </c>
      <c r="L23" s="3">
        <f t="shared" si="7"/>
        <v>0.3125</v>
      </c>
      <c r="N23" s="15"/>
      <c r="O23" s="15"/>
      <c r="P23" s="15"/>
      <c r="Q23" s="15"/>
    </row>
    <row r="24" spans="1:17" x14ac:dyDescent="0.25">
      <c r="A24" s="1">
        <v>1963</v>
      </c>
      <c r="B24">
        <v>980</v>
      </c>
      <c r="C24" s="1" t="str">
        <f t="shared" si="0"/>
        <v>880+</v>
      </c>
    </row>
    <row r="25" spans="1:17" x14ac:dyDescent="0.25">
      <c r="A25" s="1">
        <v>1964</v>
      </c>
      <c r="B25">
        <v>490</v>
      </c>
      <c r="C25" s="1" t="str">
        <f t="shared" si="0"/>
        <v>490-640</v>
      </c>
      <c r="F25" s="16" t="s">
        <v>20</v>
      </c>
      <c r="G25" s="16"/>
      <c r="H25" s="16"/>
      <c r="I25" s="16"/>
      <c r="J25" s="16"/>
      <c r="K25" s="16"/>
      <c r="L25" s="16"/>
    </row>
    <row r="26" spans="1:17" x14ac:dyDescent="0.25">
      <c r="A26" s="1">
        <v>1965</v>
      </c>
      <c r="B26">
        <v>490</v>
      </c>
      <c r="C26" s="1" t="str">
        <f t="shared" si="0"/>
        <v>490-640</v>
      </c>
      <c r="F26" s="10"/>
      <c r="H26" s="14" t="s">
        <v>7</v>
      </c>
      <c r="I26" s="14"/>
      <c r="J26" s="14"/>
      <c r="K26" s="14"/>
      <c r="L26" s="14"/>
    </row>
    <row r="27" spans="1:17" x14ac:dyDescent="0.25">
      <c r="A27" s="1">
        <v>1966</v>
      </c>
      <c r="B27">
        <v>385</v>
      </c>
      <c r="C27" s="1" t="str">
        <f t="shared" si="0"/>
        <v>0-490</v>
      </c>
      <c r="F27" s="10"/>
      <c r="H27" s="7" t="str" cm="1">
        <f t="array" ref="H27:L27">TRANSPOSE($H$2:$H$6)</f>
        <v>0-490</v>
      </c>
      <c r="I27" s="7" t="str">
        <v>490-640</v>
      </c>
      <c r="J27" s="7" t="str">
        <v>640-780</v>
      </c>
      <c r="K27" s="7" t="str">
        <v>780-880</v>
      </c>
      <c r="L27" s="7" t="str">
        <v>880+</v>
      </c>
    </row>
    <row r="28" spans="1:17" x14ac:dyDescent="0.25">
      <c r="A28" s="1">
        <v>1967</v>
      </c>
      <c r="B28">
        <v>670</v>
      </c>
      <c r="C28" s="1" t="str">
        <f t="shared" si="0"/>
        <v>640-780</v>
      </c>
      <c r="F28" s="12" t="s">
        <v>8</v>
      </c>
      <c r="G28" s="5" t="str" cm="1">
        <f t="array" ref="G28:G32">$H$2:$H$6</f>
        <v>0-490</v>
      </c>
      <c r="H28" s="3">
        <f>H10/SUM(H$10:H$14)-0.2</f>
        <v>0.15294117647058825</v>
      </c>
      <c r="I28" s="3">
        <f t="shared" ref="I28:L28" si="8">I10/SUM(I$10:I$14)-0.2</f>
        <v>3.5294117647058809E-2</v>
      </c>
      <c r="J28" s="3">
        <f t="shared" si="8"/>
        <v>-0.14117647058823529</v>
      </c>
      <c r="K28" s="3">
        <f t="shared" si="8"/>
        <v>-8.8888888888888906E-2</v>
      </c>
      <c r="L28" s="3">
        <f t="shared" si="8"/>
        <v>4.9999999999999989E-2</v>
      </c>
    </row>
    <row r="29" spans="1:17" x14ac:dyDescent="0.25">
      <c r="A29" s="1">
        <v>1968</v>
      </c>
      <c r="B29">
        <v>795</v>
      </c>
      <c r="C29" s="1" t="str">
        <f t="shared" si="0"/>
        <v>780-880</v>
      </c>
      <c r="F29" s="12"/>
      <c r="G29" s="5" t="str">
        <v>490-640</v>
      </c>
      <c r="H29" s="3">
        <f t="shared" ref="H29:L29" si="9">H11/SUM(H$10:H$14)-0.2</f>
        <v>-2.3529411764705882E-2</v>
      </c>
      <c r="I29" s="3">
        <f t="shared" si="9"/>
        <v>-8.2352941176470601E-2</v>
      </c>
      <c r="J29" s="3">
        <f t="shared" si="9"/>
        <v>-8.2352941176470601E-2</v>
      </c>
      <c r="K29" s="3">
        <f t="shared" si="9"/>
        <v>0.1333333333333333</v>
      </c>
      <c r="L29" s="3">
        <f t="shared" si="9"/>
        <v>4.9999999999999989E-2</v>
      </c>
    </row>
    <row r="30" spans="1:17" x14ac:dyDescent="0.25">
      <c r="A30" s="1">
        <v>1969</v>
      </c>
      <c r="B30">
        <v>1135</v>
      </c>
      <c r="C30" s="1" t="str">
        <f t="shared" si="0"/>
        <v>880+</v>
      </c>
      <c r="F30" s="12"/>
      <c r="G30" s="5" t="str">
        <v>640-780</v>
      </c>
      <c r="H30" s="3">
        <f t="shared" ref="H30:L30" si="10">H12/SUM(H$10:H$14)-0.2</f>
        <v>3.5294117647058809E-2</v>
      </c>
      <c r="I30" s="3">
        <f t="shared" si="10"/>
        <v>-0.14117647058823529</v>
      </c>
      <c r="J30" s="3">
        <f t="shared" si="10"/>
        <v>0.27058823529411763</v>
      </c>
      <c r="K30" s="3">
        <f t="shared" si="10"/>
        <v>-8.8888888888888906E-2</v>
      </c>
      <c r="L30" s="3">
        <f t="shared" si="10"/>
        <v>-7.5000000000000011E-2</v>
      </c>
    </row>
    <row r="31" spans="1:17" x14ac:dyDescent="0.25">
      <c r="A31" s="1">
        <v>1970</v>
      </c>
      <c r="B31">
        <v>430</v>
      </c>
      <c r="C31" s="1" t="str">
        <f t="shared" si="0"/>
        <v>0-490</v>
      </c>
      <c r="F31" s="12"/>
      <c r="G31" s="5" t="str">
        <v>780-880</v>
      </c>
      <c r="H31" s="3">
        <f t="shared" ref="H31:L31" si="11">H13/SUM(H$10:H$14)-0.2</f>
        <v>-8.2352941176470601E-2</v>
      </c>
      <c r="I31" s="3">
        <f t="shared" si="11"/>
        <v>0.15294117647058825</v>
      </c>
      <c r="J31" s="3">
        <f t="shared" si="11"/>
        <v>3.5294117647058809E-2</v>
      </c>
      <c r="K31" s="3">
        <f t="shared" si="11"/>
        <v>2.2222222222222199E-2</v>
      </c>
      <c r="L31" s="3">
        <f t="shared" si="11"/>
        <v>-0.13750000000000001</v>
      </c>
    </row>
    <row r="32" spans="1:17" x14ac:dyDescent="0.25">
      <c r="A32" s="1">
        <v>1971</v>
      </c>
      <c r="B32">
        <v>770</v>
      </c>
      <c r="C32" s="1" t="str">
        <f t="shared" si="0"/>
        <v>640-780</v>
      </c>
      <c r="F32" s="12"/>
      <c r="G32" s="5" t="str">
        <v>880+</v>
      </c>
      <c r="H32" s="3">
        <f t="shared" ref="H32:L32" si="12">H14/SUM(H$10:H$14)-0.2</f>
        <v>-8.2352941176470601E-2</v>
      </c>
      <c r="I32" s="3">
        <f t="shared" si="12"/>
        <v>3.5294117647058809E-2</v>
      </c>
      <c r="J32" s="3">
        <f t="shared" si="12"/>
        <v>-8.2352941176470601E-2</v>
      </c>
      <c r="K32" s="3">
        <f t="shared" si="12"/>
        <v>2.2222222222222199E-2</v>
      </c>
      <c r="L32" s="3">
        <f t="shared" si="12"/>
        <v>0.11249999999999999</v>
      </c>
    </row>
    <row r="33" spans="1:3" x14ac:dyDescent="0.25">
      <c r="A33" s="1">
        <v>1972</v>
      </c>
      <c r="B33">
        <v>820</v>
      </c>
      <c r="C33" s="1" t="str">
        <f t="shared" si="0"/>
        <v>780-880</v>
      </c>
    </row>
    <row r="34" spans="1:3" x14ac:dyDescent="0.25">
      <c r="A34" s="1">
        <v>1973</v>
      </c>
      <c r="B34">
        <v>585</v>
      </c>
      <c r="C34" s="1" t="str">
        <f t="shared" si="0"/>
        <v>490-640</v>
      </c>
    </row>
    <row r="35" spans="1:3" x14ac:dyDescent="0.25">
      <c r="A35" s="1">
        <v>1974</v>
      </c>
      <c r="B35">
        <v>995</v>
      </c>
      <c r="C35" s="1" t="str">
        <f t="shared" si="0"/>
        <v>880+</v>
      </c>
    </row>
    <row r="36" spans="1:3" x14ac:dyDescent="0.25">
      <c r="A36" s="1">
        <v>1975</v>
      </c>
      <c r="B36">
        <v>660</v>
      </c>
      <c r="C36" s="1" t="str">
        <f t="shared" si="0"/>
        <v>640-780</v>
      </c>
    </row>
    <row r="37" spans="1:3" x14ac:dyDescent="0.25">
      <c r="A37" s="1">
        <v>1976</v>
      </c>
      <c r="B37">
        <v>750</v>
      </c>
      <c r="C37" s="1" t="str">
        <f t="shared" si="0"/>
        <v>640-780</v>
      </c>
    </row>
    <row r="38" spans="1:3" x14ac:dyDescent="0.25">
      <c r="A38" s="1">
        <v>1977</v>
      </c>
      <c r="B38">
        <v>650</v>
      </c>
      <c r="C38" s="1" t="str">
        <f t="shared" si="0"/>
        <v>640-780</v>
      </c>
    </row>
    <row r="39" spans="1:3" x14ac:dyDescent="0.25">
      <c r="A39" s="1">
        <v>1978</v>
      </c>
      <c r="B39">
        <v>700</v>
      </c>
      <c r="C39" s="1" t="str">
        <f t="shared" si="0"/>
        <v>640-780</v>
      </c>
    </row>
    <row r="40" spans="1:3" x14ac:dyDescent="0.25">
      <c r="A40" s="1">
        <v>1979</v>
      </c>
      <c r="B40">
        <v>680</v>
      </c>
      <c r="C40" s="1" t="str">
        <f t="shared" si="0"/>
        <v>640-780</v>
      </c>
    </row>
    <row r="41" spans="1:3" x14ac:dyDescent="0.25">
      <c r="A41" s="1">
        <v>1980</v>
      </c>
      <c r="B41">
        <v>570</v>
      </c>
      <c r="C41" s="1" t="str">
        <f t="shared" si="0"/>
        <v>490-640</v>
      </c>
    </row>
    <row r="42" spans="1:3" x14ac:dyDescent="0.25">
      <c r="A42" s="1">
        <v>1981</v>
      </c>
      <c r="B42">
        <v>780</v>
      </c>
      <c r="C42" s="1" t="str">
        <f t="shared" si="0"/>
        <v>780-880</v>
      </c>
    </row>
    <row r="43" spans="1:3" x14ac:dyDescent="0.25">
      <c r="A43" s="1">
        <v>1982</v>
      </c>
      <c r="B43">
        <v>970</v>
      </c>
      <c r="C43" s="1" t="str">
        <f t="shared" si="0"/>
        <v>880+</v>
      </c>
    </row>
    <row r="44" spans="1:3" x14ac:dyDescent="0.25">
      <c r="A44" s="1">
        <v>1983</v>
      </c>
      <c r="B44">
        <v>485</v>
      </c>
      <c r="C44" s="1" t="str">
        <f t="shared" si="0"/>
        <v>0-490</v>
      </c>
    </row>
    <row r="45" spans="1:3" x14ac:dyDescent="0.25">
      <c r="A45" s="1">
        <v>1984</v>
      </c>
      <c r="B45">
        <v>705</v>
      </c>
      <c r="C45" s="1" t="str">
        <f t="shared" si="0"/>
        <v>640-780</v>
      </c>
    </row>
    <row r="46" spans="1:3" x14ac:dyDescent="0.25">
      <c r="A46" s="1">
        <v>1985</v>
      </c>
      <c r="B46">
        <v>715</v>
      </c>
      <c r="C46" s="1" t="str">
        <f t="shared" si="0"/>
        <v>640-780</v>
      </c>
    </row>
    <row r="47" spans="1:3" x14ac:dyDescent="0.25">
      <c r="A47" s="1">
        <v>1986</v>
      </c>
      <c r="B47">
        <v>725</v>
      </c>
      <c r="C47" s="1" t="str">
        <f t="shared" si="0"/>
        <v>640-780</v>
      </c>
    </row>
    <row r="48" spans="1:3" x14ac:dyDescent="0.25">
      <c r="A48" s="1">
        <v>1987</v>
      </c>
      <c r="B48">
        <v>750</v>
      </c>
      <c r="C48" s="1" t="str">
        <f t="shared" si="0"/>
        <v>640-780</v>
      </c>
    </row>
    <row r="49" spans="1:3" x14ac:dyDescent="0.25">
      <c r="A49" s="1">
        <v>1988</v>
      </c>
      <c r="B49">
        <v>902</v>
      </c>
      <c r="C49" s="1" t="str">
        <f t="shared" si="0"/>
        <v>880+</v>
      </c>
    </row>
    <row r="50" spans="1:3" x14ac:dyDescent="0.25">
      <c r="A50" s="1">
        <v>1989</v>
      </c>
      <c r="B50">
        <v>498</v>
      </c>
      <c r="C50" s="1" t="str">
        <f t="shared" si="0"/>
        <v>490-640</v>
      </c>
    </row>
    <row r="51" spans="1:3" x14ac:dyDescent="0.25">
      <c r="A51" s="1">
        <v>1990</v>
      </c>
      <c r="B51">
        <v>945</v>
      </c>
      <c r="C51" s="1" t="str">
        <f t="shared" si="0"/>
        <v>880+</v>
      </c>
    </row>
    <row r="52" spans="1:3" x14ac:dyDescent="0.25">
      <c r="A52" s="1">
        <v>1991</v>
      </c>
      <c r="B52">
        <v>935</v>
      </c>
      <c r="C52" s="1" t="str">
        <f t="shared" si="0"/>
        <v>880+</v>
      </c>
    </row>
    <row r="53" spans="1:3" x14ac:dyDescent="0.25">
      <c r="A53" s="1">
        <v>1992</v>
      </c>
      <c r="B53">
        <v>1002</v>
      </c>
      <c r="C53" s="1" t="str">
        <f t="shared" si="0"/>
        <v>880+</v>
      </c>
    </row>
    <row r="54" spans="1:3" x14ac:dyDescent="0.25">
      <c r="A54" s="1">
        <v>1993</v>
      </c>
      <c r="B54">
        <v>880</v>
      </c>
      <c r="C54" s="1" t="str">
        <f t="shared" si="0"/>
        <v>880+</v>
      </c>
    </row>
    <row r="55" spans="1:3" x14ac:dyDescent="0.25">
      <c r="A55" s="1">
        <v>1994</v>
      </c>
      <c r="B55">
        <v>960</v>
      </c>
      <c r="C55" s="1" t="str">
        <f t="shared" si="0"/>
        <v>880+</v>
      </c>
    </row>
    <row r="56" spans="1:3" x14ac:dyDescent="0.25">
      <c r="A56" s="1">
        <v>1995</v>
      </c>
      <c r="B56">
        <v>665</v>
      </c>
      <c r="C56" s="1" t="str">
        <f t="shared" si="0"/>
        <v>640-780</v>
      </c>
    </row>
    <row r="57" spans="1:3" x14ac:dyDescent="0.25">
      <c r="A57" s="1">
        <v>1996</v>
      </c>
      <c r="B57">
        <v>780</v>
      </c>
      <c r="C57" s="1" t="str">
        <f t="shared" si="0"/>
        <v>780-880</v>
      </c>
    </row>
    <row r="58" spans="1:3" x14ac:dyDescent="0.25">
      <c r="A58" s="1">
        <v>1997</v>
      </c>
      <c r="B58">
        <v>850</v>
      </c>
      <c r="C58" s="1" t="str">
        <f t="shared" si="0"/>
        <v>780-880</v>
      </c>
    </row>
    <row r="59" spans="1:3" x14ac:dyDescent="0.25">
      <c r="A59" s="1">
        <v>1998</v>
      </c>
      <c r="B59">
        <v>620</v>
      </c>
      <c r="C59" s="1" t="str">
        <f t="shared" si="0"/>
        <v>490-640</v>
      </c>
    </row>
    <row r="60" spans="1:3" x14ac:dyDescent="0.25">
      <c r="A60" s="1">
        <v>1999</v>
      </c>
      <c r="B60">
        <v>330</v>
      </c>
      <c r="C60" s="1" t="str">
        <f t="shared" si="0"/>
        <v>0-490</v>
      </c>
    </row>
    <row r="61" spans="1:3" x14ac:dyDescent="0.25">
      <c r="A61" s="1">
        <v>2000</v>
      </c>
      <c r="B61">
        <v>270</v>
      </c>
      <c r="C61" s="1" t="str">
        <f t="shared" si="0"/>
        <v>0-490</v>
      </c>
    </row>
    <row r="62" spans="1:3" x14ac:dyDescent="0.25">
      <c r="A62" s="1">
        <v>2001</v>
      </c>
      <c r="B62">
        <v>510</v>
      </c>
      <c r="C62" s="1" t="str">
        <f t="shared" si="0"/>
        <v>490-640</v>
      </c>
    </row>
    <row r="63" spans="1:3" x14ac:dyDescent="0.25">
      <c r="A63" s="1">
        <v>2002</v>
      </c>
      <c r="B63">
        <v>930</v>
      </c>
      <c r="C63" s="1" t="str">
        <f t="shared" si="0"/>
        <v>880+</v>
      </c>
    </row>
    <row r="64" spans="1:3" x14ac:dyDescent="0.25">
      <c r="A64" s="1">
        <v>2003</v>
      </c>
      <c r="B64">
        <v>875</v>
      </c>
      <c r="C64" s="1" t="str">
        <f t="shared" si="0"/>
        <v>780-880</v>
      </c>
    </row>
    <row r="65" spans="1:3" x14ac:dyDescent="0.25">
      <c r="A65" s="1">
        <v>2004</v>
      </c>
      <c r="B65">
        <v>840</v>
      </c>
      <c r="C65" s="1" t="str">
        <f t="shared" si="0"/>
        <v>780-880</v>
      </c>
    </row>
    <row r="66" spans="1:3" x14ac:dyDescent="0.25">
      <c r="A66" s="1">
        <v>2005</v>
      </c>
      <c r="B66">
        <v>630</v>
      </c>
      <c r="C66" s="1" t="str">
        <f t="shared" ref="C66:C87" si="13">LOOKUP(B66,$G$2:$G$6,$H$2:$H$6)</f>
        <v>490-640</v>
      </c>
    </row>
    <row r="67" spans="1:3" x14ac:dyDescent="0.25">
      <c r="A67" s="1">
        <v>2006</v>
      </c>
      <c r="B67">
        <v>875</v>
      </c>
      <c r="C67" s="1" t="str">
        <f t="shared" si="13"/>
        <v>780-880</v>
      </c>
    </row>
    <row r="68" spans="1:3" x14ac:dyDescent="0.25">
      <c r="A68" s="1">
        <v>2007</v>
      </c>
      <c r="B68">
        <v>874</v>
      </c>
      <c r="C68" s="1" t="str">
        <f t="shared" si="13"/>
        <v>780-880</v>
      </c>
    </row>
    <row r="69" spans="1:3" x14ac:dyDescent="0.25">
      <c r="A69" s="1">
        <v>2008</v>
      </c>
      <c r="B69">
        <v>307</v>
      </c>
      <c r="C69" s="1" t="str">
        <f t="shared" si="13"/>
        <v>0-490</v>
      </c>
    </row>
    <row r="70" spans="1:3" x14ac:dyDescent="0.25">
      <c r="A70" s="1">
        <v>2009</v>
      </c>
      <c r="B70">
        <v>415</v>
      </c>
      <c r="C70" s="1" t="str">
        <f t="shared" si="13"/>
        <v>0-490</v>
      </c>
    </row>
    <row r="71" spans="1:3" x14ac:dyDescent="0.25">
      <c r="A71" s="1">
        <v>2010</v>
      </c>
      <c r="B71">
        <v>844</v>
      </c>
      <c r="C71" s="1" t="str">
        <f t="shared" si="13"/>
        <v>780-880</v>
      </c>
    </row>
    <row r="72" spans="1:3" x14ac:dyDescent="0.25">
      <c r="A72" s="1">
        <v>2011</v>
      </c>
      <c r="B72">
        <v>661</v>
      </c>
      <c r="C72" s="1" t="str">
        <f t="shared" si="13"/>
        <v>640-780</v>
      </c>
    </row>
    <row r="73" spans="1:3" x14ac:dyDescent="0.25">
      <c r="A73" s="1">
        <v>2012</v>
      </c>
      <c r="B73">
        <v>547</v>
      </c>
      <c r="C73" s="1" t="str">
        <f t="shared" si="13"/>
        <v>490-640</v>
      </c>
    </row>
    <row r="74" spans="1:3" x14ac:dyDescent="0.25">
      <c r="A74" s="1">
        <v>2013</v>
      </c>
      <c r="B74">
        <v>826</v>
      </c>
      <c r="C74" s="1" t="str">
        <f t="shared" si="13"/>
        <v>780-880</v>
      </c>
    </row>
    <row r="75" spans="1:3" x14ac:dyDescent="0.25">
      <c r="A75" s="1">
        <v>2014</v>
      </c>
      <c r="B75">
        <v>581</v>
      </c>
      <c r="C75" s="1" t="str">
        <f t="shared" si="13"/>
        <v>490-640</v>
      </c>
    </row>
    <row r="76" spans="1:3" x14ac:dyDescent="0.25">
      <c r="A76" s="1">
        <v>2015</v>
      </c>
      <c r="B76">
        <v>691</v>
      </c>
      <c r="C76" s="1" t="str">
        <f t="shared" si="13"/>
        <v>640-780</v>
      </c>
    </row>
    <row r="77" spans="1:3" x14ac:dyDescent="0.25">
      <c r="A77" s="1">
        <v>2016</v>
      </c>
      <c r="B77">
        <v>947</v>
      </c>
      <c r="C77" s="1" t="str">
        <f t="shared" si="13"/>
        <v>880+</v>
      </c>
    </row>
    <row r="78" spans="1:3" x14ac:dyDescent="0.25">
      <c r="A78" s="1">
        <v>2017</v>
      </c>
      <c r="B78">
        <v>561</v>
      </c>
      <c r="C78" s="1" t="str">
        <f t="shared" si="13"/>
        <v>490-640</v>
      </c>
    </row>
    <row r="79" spans="1:3" x14ac:dyDescent="0.25">
      <c r="A79" s="1">
        <v>2018</v>
      </c>
      <c r="B79">
        <v>850</v>
      </c>
      <c r="C79" s="1" t="str">
        <f t="shared" si="13"/>
        <v>780-880</v>
      </c>
    </row>
    <row r="80" spans="1:3" x14ac:dyDescent="0.25">
      <c r="A80" s="1">
        <v>2019</v>
      </c>
      <c r="B80">
        <v>1618</v>
      </c>
      <c r="C80" s="1" t="str">
        <f t="shared" si="13"/>
        <v>880+</v>
      </c>
    </row>
    <row r="81" spans="1:3" x14ac:dyDescent="0.25">
      <c r="A81" s="1">
        <v>2020</v>
      </c>
      <c r="B81">
        <v>931</v>
      </c>
      <c r="C81" s="1" t="str">
        <f t="shared" si="13"/>
        <v>880+</v>
      </c>
    </row>
    <row r="82" spans="1:3" x14ac:dyDescent="0.25">
      <c r="A82" s="1">
        <v>2021</v>
      </c>
      <c r="B82">
        <v>401</v>
      </c>
      <c r="C82" s="1" t="str">
        <f t="shared" si="13"/>
        <v>0-490</v>
      </c>
    </row>
    <row r="83" spans="1:3" x14ac:dyDescent="0.25">
      <c r="A83" s="1">
        <v>2022</v>
      </c>
      <c r="B83">
        <v>420</v>
      </c>
      <c r="C83" s="1" t="str">
        <f t="shared" si="13"/>
        <v>0-490</v>
      </c>
    </row>
    <row r="84" spans="1:3" x14ac:dyDescent="0.25">
      <c r="A84" s="1">
        <v>2023</v>
      </c>
      <c r="B84">
        <v>781</v>
      </c>
      <c r="C84" s="1" t="str">
        <f t="shared" si="13"/>
        <v>780-880</v>
      </c>
    </row>
    <row r="85" spans="1:3" x14ac:dyDescent="0.25">
      <c r="A85" s="1">
        <v>2024</v>
      </c>
      <c r="B85">
        <v>724</v>
      </c>
      <c r="C85" s="1" t="str">
        <f t="shared" si="13"/>
        <v>640-780</v>
      </c>
    </row>
    <row r="86" spans="1:3" x14ac:dyDescent="0.25">
      <c r="A86" s="1">
        <v>2025</v>
      </c>
      <c r="B86">
        <v>350</v>
      </c>
      <c r="C86" s="1" t="str">
        <f t="shared" si="13"/>
        <v>0-490</v>
      </c>
    </row>
    <row r="87" spans="1:3" x14ac:dyDescent="0.25">
      <c r="A87" s="1">
        <v>2026</v>
      </c>
      <c r="B87">
        <v>1070</v>
      </c>
      <c r="C87" s="1" t="str">
        <f t="shared" si="13"/>
        <v>880+</v>
      </c>
    </row>
  </sheetData>
  <mergeCells count="9">
    <mergeCell ref="N19:Q23"/>
    <mergeCell ref="H26:L26"/>
    <mergeCell ref="F28:F32"/>
    <mergeCell ref="F25:L25"/>
    <mergeCell ref="G1:H1"/>
    <mergeCell ref="H8:L8"/>
    <mergeCell ref="F10:F14"/>
    <mergeCell ref="H17:L17"/>
    <mergeCell ref="F19:F23"/>
  </mergeCells>
  <conditionalFormatting sqref="H28:L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D20-3309-4EB4-8FC2-5072E6D2C8D3}">
  <dimension ref="A1:R87"/>
  <sheetViews>
    <sheetView tabSelected="1" topLeftCell="C71" zoomScale="145" zoomScaleNormal="145" workbookViewId="0">
      <selection activeCell="D87" sqref="D87"/>
    </sheetView>
  </sheetViews>
  <sheetFormatPr defaultRowHeight="15" x14ac:dyDescent="0.25"/>
  <cols>
    <col min="1" max="1" width="5.42578125" bestFit="1" customWidth="1"/>
    <col min="2" max="2" width="9.5703125" bestFit="1" customWidth="1"/>
    <col min="3" max="3" width="12.7109375" style="1" bestFit="1" customWidth="1"/>
    <col min="4" max="4" width="18.28515625" bestFit="1" customWidth="1"/>
    <col min="6" max="6" width="9.5703125" bestFit="1" customWidth="1"/>
    <col min="7" max="7" width="18.28515625" bestFit="1" customWidth="1"/>
    <col min="8" max="9" width="9.7109375" bestFit="1" customWidth="1"/>
    <col min="10" max="10" width="10.7109375" bestFit="1" customWidth="1"/>
    <col min="11" max="11" width="9.7109375" bestFit="1" customWidth="1"/>
    <col min="12" max="12" width="8.42578125" customWidth="1"/>
    <col min="14" max="14" width="18.28515625" bestFit="1" customWidth="1"/>
    <col min="16" max="16" width="10.7109375" bestFit="1" customWidth="1"/>
    <col min="17" max="17" width="11.85546875" bestFit="1" customWidth="1"/>
  </cols>
  <sheetData>
    <row r="1" spans="1:18" x14ac:dyDescent="0.25">
      <c r="A1" s="8" t="s">
        <v>0</v>
      </c>
      <c r="B1" s="9" t="s">
        <v>1</v>
      </c>
      <c r="C1" s="11" t="s">
        <v>13</v>
      </c>
      <c r="G1" s="13" t="s">
        <v>9</v>
      </c>
      <c r="H1" s="13"/>
      <c r="I1" s="5" t="s">
        <v>10</v>
      </c>
      <c r="J1" s="5" t="s">
        <v>11</v>
      </c>
      <c r="N1" s="11" t="s">
        <v>21</v>
      </c>
      <c r="O1" s="5" t="s">
        <v>10</v>
      </c>
      <c r="P1" s="5" t="s">
        <v>11</v>
      </c>
      <c r="R1" t="s">
        <v>22</v>
      </c>
    </row>
    <row r="2" spans="1:18" x14ac:dyDescent="0.25">
      <c r="A2" s="1">
        <v>1941</v>
      </c>
      <c r="B2">
        <v>780</v>
      </c>
      <c r="C2" s="1" t="str">
        <f t="shared" ref="C2:C65" si="0">LOOKUP(B2,$G$2:$G$6,$H$2:$H$6)</f>
        <v>[720-875]</v>
      </c>
      <c r="G2">
        <v>0</v>
      </c>
      <c r="H2" t="s">
        <v>23</v>
      </c>
      <c r="I2">
        <f>COUNTIF($C$2:$C$87,H2)</f>
        <v>3</v>
      </c>
      <c r="J2" s="2">
        <f>I2/SUM($I$2:$I$6)</f>
        <v>3.4883720930232558E-2</v>
      </c>
      <c r="N2" t="str" cm="1">
        <f t="array" ref="N2:N20">_xlfn._xlws.SORT(_xlfn.UNIQUE(D3:D87))</f>
        <v>[0-273][0-273]</v>
      </c>
      <c r="O2">
        <f>COUNTIF($D$3:$D$87,N2)</f>
        <v>1</v>
      </c>
      <c r="P2" s="18">
        <f>O2/SUM($O$2:$O$20)</f>
        <v>1.1764705882352941E-2</v>
      </c>
      <c r="Q2">
        <f>IF(P2=0,0,(P2-$R$2)^2)</f>
        <v>1.6701013141120875E-3</v>
      </c>
      <c r="R2" s="18">
        <f>1/COUNTA(_xlfn.ANCHORARRAY(N2))</f>
        <v>5.2631578947368418E-2</v>
      </c>
    </row>
    <row r="3" spans="1:18" x14ac:dyDescent="0.25">
      <c r="A3" s="1">
        <v>1942</v>
      </c>
      <c r="B3">
        <v>470</v>
      </c>
      <c r="C3" s="1" t="str">
        <f t="shared" si="0"/>
        <v>[273-552]</v>
      </c>
      <c r="D3" t="str">
        <f>C2&amp;C3</f>
        <v>[720-875][273-552]</v>
      </c>
      <c r="G3">
        <v>273</v>
      </c>
      <c r="H3" t="s">
        <v>24</v>
      </c>
      <c r="I3">
        <f t="shared" ref="I3:I6" si="1">COUNTIF($C$2:$C$87,H3)</f>
        <v>22</v>
      </c>
      <c r="J3" s="2">
        <f t="shared" ref="J3:J6" si="2">I3/SUM($I$2:$I$6)</f>
        <v>0.2558139534883721</v>
      </c>
      <c r="N3" t="str">
        <v>[0-273][273-552]</v>
      </c>
      <c r="O3">
        <f t="shared" ref="O3:O20" si="3">COUNTIF($D$3:$D$87,N3)</f>
        <v>2</v>
      </c>
      <c r="P3" s="18">
        <f t="shared" ref="P3:P20" si="4">O3/SUM($O$2:$O$62)</f>
        <v>2.3529411764705882E-2</v>
      </c>
      <c r="Q3">
        <f t="shared" ref="Q3:Q20" si="5">IF(P3=0,0,(P3-$R$2)^2)</f>
        <v>8.4693613472764024E-4</v>
      </c>
    </row>
    <row r="4" spans="1:18" x14ac:dyDescent="0.25">
      <c r="A4" s="1">
        <v>1943</v>
      </c>
      <c r="B4">
        <v>690</v>
      </c>
      <c r="C4" s="1" t="str">
        <f t="shared" si="0"/>
        <v>[552-720]</v>
      </c>
      <c r="D4" t="str">
        <f t="shared" ref="D4:D67" si="6">C3&amp;C4</f>
        <v>[273-552][552-720]</v>
      </c>
      <c r="G4">
        <v>552</v>
      </c>
      <c r="H4" t="s">
        <v>25</v>
      </c>
      <c r="I4">
        <f t="shared" si="1"/>
        <v>21</v>
      </c>
      <c r="J4" s="2">
        <f t="shared" si="2"/>
        <v>0.2441860465116279</v>
      </c>
      <c r="N4" t="str">
        <v>[273-552][0-273]</v>
      </c>
      <c r="O4">
        <f t="shared" si="3"/>
        <v>2</v>
      </c>
      <c r="P4" s="18">
        <f t="shared" si="4"/>
        <v>2.3529411764705882E-2</v>
      </c>
      <c r="Q4">
        <f t="shared" si="5"/>
        <v>8.4693613472764024E-4</v>
      </c>
    </row>
    <row r="5" spans="1:18" x14ac:dyDescent="0.25">
      <c r="A5" s="1">
        <v>1944</v>
      </c>
      <c r="B5">
        <v>640</v>
      </c>
      <c r="C5" s="1" t="str">
        <f t="shared" si="0"/>
        <v>[552-720]</v>
      </c>
      <c r="D5" t="str">
        <f t="shared" si="6"/>
        <v>[552-720][552-720]</v>
      </c>
      <c r="G5">
        <v>720</v>
      </c>
      <c r="H5" t="s">
        <v>26</v>
      </c>
      <c r="I5">
        <f t="shared" si="1"/>
        <v>21</v>
      </c>
      <c r="J5" s="2">
        <f t="shared" si="2"/>
        <v>0.2441860465116279</v>
      </c>
      <c r="N5" t="str">
        <v>[273-552][273-552]</v>
      </c>
      <c r="O5">
        <f t="shared" si="3"/>
        <v>5</v>
      </c>
      <c r="P5" s="18">
        <f t="shared" si="4"/>
        <v>5.8823529411764705E-2</v>
      </c>
      <c r="Q5">
        <f t="shared" si="5"/>
        <v>3.8340250553537392E-5</v>
      </c>
    </row>
    <row r="6" spans="1:18" x14ac:dyDescent="0.25">
      <c r="A6" s="1">
        <v>1945</v>
      </c>
      <c r="B6">
        <v>790</v>
      </c>
      <c r="C6" s="1" t="str">
        <f t="shared" si="0"/>
        <v>[720-875]</v>
      </c>
      <c r="D6" t="str">
        <f t="shared" si="6"/>
        <v>[552-720][720-875]</v>
      </c>
      <c r="G6">
        <v>875</v>
      </c>
      <c r="H6" t="s">
        <v>27</v>
      </c>
      <c r="I6">
        <f t="shared" si="1"/>
        <v>19</v>
      </c>
      <c r="J6" s="2">
        <f t="shared" si="2"/>
        <v>0.22093023255813954</v>
      </c>
      <c r="N6" t="str">
        <v>[273-552][552-720]</v>
      </c>
      <c r="O6">
        <f t="shared" si="3"/>
        <v>5</v>
      </c>
      <c r="P6" s="18">
        <f t="shared" si="4"/>
        <v>5.8823529411764705E-2</v>
      </c>
      <c r="Q6">
        <f t="shared" si="5"/>
        <v>3.8340250553537392E-5</v>
      </c>
    </row>
    <row r="7" spans="1:18" x14ac:dyDescent="0.25">
      <c r="A7" s="1">
        <v>1946</v>
      </c>
      <c r="B7">
        <v>835</v>
      </c>
      <c r="C7" s="1" t="str">
        <f t="shared" si="0"/>
        <v>[720-875]</v>
      </c>
      <c r="D7" t="str">
        <f t="shared" si="6"/>
        <v>[720-875][720-875]</v>
      </c>
      <c r="N7" t="str">
        <v>[273-552][720-875]</v>
      </c>
      <c r="O7">
        <f t="shared" si="3"/>
        <v>5</v>
      </c>
      <c r="P7" s="18">
        <f t="shared" si="4"/>
        <v>5.8823529411764705E-2</v>
      </c>
      <c r="Q7">
        <f t="shared" si="5"/>
        <v>3.8340250553537392E-5</v>
      </c>
    </row>
    <row r="8" spans="1:18" x14ac:dyDescent="0.25">
      <c r="A8" s="1">
        <v>1947</v>
      </c>
      <c r="B8">
        <v>530</v>
      </c>
      <c r="C8" s="1" t="str">
        <f t="shared" si="0"/>
        <v>[273-552]</v>
      </c>
      <c r="D8" t="str">
        <f t="shared" si="6"/>
        <v>[720-875][273-552]</v>
      </c>
      <c r="H8" s="14" t="s">
        <v>28</v>
      </c>
      <c r="I8" s="14"/>
      <c r="J8" s="14"/>
      <c r="K8" s="14"/>
      <c r="L8" s="14"/>
      <c r="N8" t="str">
        <v>[273-552][875+]</v>
      </c>
      <c r="O8">
        <f t="shared" si="3"/>
        <v>5</v>
      </c>
      <c r="P8" s="18">
        <f t="shared" si="4"/>
        <v>5.8823529411764705E-2</v>
      </c>
      <c r="Q8">
        <f t="shared" si="5"/>
        <v>3.8340250553537392E-5</v>
      </c>
    </row>
    <row r="9" spans="1:18" x14ac:dyDescent="0.25">
      <c r="A9" s="1">
        <v>1948</v>
      </c>
      <c r="B9">
        <v>360</v>
      </c>
      <c r="C9" s="1" t="str">
        <f t="shared" si="0"/>
        <v>[273-552]</v>
      </c>
      <c r="D9" t="str">
        <f t="shared" si="6"/>
        <v>[273-552][273-552]</v>
      </c>
      <c r="H9" s="11" t="str" cm="1">
        <f t="array" ref="H9:L9">TRANSPOSE($H$2:$H$6)</f>
        <v>[0-273]</v>
      </c>
      <c r="I9" s="11" t="str">
        <v>[273-552]</v>
      </c>
      <c r="J9" s="11" t="str">
        <v>[552-720]</v>
      </c>
      <c r="K9" s="11" t="str">
        <v>[720-875]</v>
      </c>
      <c r="L9" s="11" t="str">
        <v>[875+]</v>
      </c>
      <c r="N9" t="str">
        <v>[552-720][273-552]</v>
      </c>
      <c r="O9">
        <f t="shared" si="3"/>
        <v>4</v>
      </c>
      <c r="P9" s="18">
        <f t="shared" si="4"/>
        <v>4.7058823529411764E-2</v>
      </c>
      <c r="Q9">
        <f t="shared" si="5"/>
        <v>3.105560294836524E-5</v>
      </c>
    </row>
    <row r="10" spans="1:18" x14ac:dyDescent="0.25">
      <c r="A10" s="1">
        <v>1949</v>
      </c>
      <c r="B10">
        <v>185</v>
      </c>
      <c r="C10" s="1" t="str">
        <f t="shared" si="0"/>
        <v>[0-273]</v>
      </c>
      <c r="D10" t="str">
        <f t="shared" si="6"/>
        <v>[273-552][0-273]</v>
      </c>
      <c r="F10" s="12" t="s">
        <v>7</v>
      </c>
      <c r="G10" s="5" t="str" cm="1">
        <f t="array" ref="G10:G28">_xlfn.ANCHORARRAY(N2)</f>
        <v>[0-273][0-273]</v>
      </c>
      <c r="H10" cm="1">
        <f t="array" ref="H10">SUM(($D$3:$D$86=$G10)*($C$4:$C$87=H$9))</f>
        <v>0</v>
      </c>
      <c r="I10" cm="1">
        <f t="array" ref="I10">SUM(($D$3:$D$86=$G10)*($C$4:$C$87=I$9))</f>
        <v>1</v>
      </c>
      <c r="J10" cm="1">
        <f t="array" ref="J10">SUM(($D$3:$D$86=$G10)*($C$4:$C$87=J$9))</f>
        <v>0</v>
      </c>
      <c r="K10" cm="1">
        <f t="array" ref="K10">SUM(($D$3:$D$86=$G10)*($C$4:$C$87=K$9))</f>
        <v>0</v>
      </c>
      <c r="L10" cm="1">
        <f t="array" ref="L10">SUM(($D$3:$D$86=$G10)*($C$4:$C$87=L$9))</f>
        <v>0</v>
      </c>
      <c r="N10" t="str">
        <v>[552-720][552-720]</v>
      </c>
      <c r="O10">
        <f t="shared" si="3"/>
        <v>6</v>
      </c>
      <c r="P10" s="18">
        <f t="shared" si="4"/>
        <v>7.0588235294117646E-2</v>
      </c>
      <c r="Q10">
        <f t="shared" si="5"/>
        <v>3.2244150715524935E-4</v>
      </c>
    </row>
    <row r="11" spans="1:18" x14ac:dyDescent="0.25">
      <c r="A11" s="1">
        <v>1950</v>
      </c>
      <c r="B11">
        <v>40</v>
      </c>
      <c r="C11" s="1" t="str">
        <f t="shared" si="0"/>
        <v>[0-273]</v>
      </c>
      <c r="D11" t="str">
        <f t="shared" si="6"/>
        <v>[0-273][0-273]</v>
      </c>
      <c r="F11" s="12"/>
      <c r="G11" s="5" t="str">
        <v>[0-273][273-552]</v>
      </c>
      <c r="H11" cm="1">
        <f t="array" ref="H11">SUM(($D$3:$D$86=$G11)*($C$4:$C$87=H$9))</f>
        <v>0</v>
      </c>
      <c r="I11" cm="1">
        <f t="array" ref="I11">SUM(($D$3:$D$86=$G11)*($C$4:$C$87=I$9))</f>
        <v>0</v>
      </c>
      <c r="J11" cm="1">
        <f t="array" ref="J11">SUM(($D$3:$D$86=$G11)*($C$4:$C$87=J$9))</f>
        <v>1</v>
      </c>
      <c r="K11" cm="1">
        <f t="array" ref="K11">SUM(($D$3:$D$86=$G11)*($C$4:$C$87=K$9))</f>
        <v>0</v>
      </c>
      <c r="L11" cm="1">
        <f t="array" ref="L11">SUM(($D$3:$D$86=$G11)*($C$4:$C$87=L$9))</f>
        <v>1</v>
      </c>
      <c r="N11" t="str">
        <v>[552-720][720-875]</v>
      </c>
      <c r="O11">
        <f t="shared" si="3"/>
        <v>8</v>
      </c>
      <c r="P11" s="18">
        <f t="shared" si="4"/>
        <v>9.4117647058823528E-2</v>
      </c>
      <c r="Q11">
        <f t="shared" si="5"/>
        <v>1.7210938473482926E-3</v>
      </c>
    </row>
    <row r="12" spans="1:18" x14ac:dyDescent="0.25">
      <c r="A12" s="1">
        <v>1951</v>
      </c>
      <c r="B12">
        <v>430</v>
      </c>
      <c r="C12" s="1" t="str">
        <f t="shared" si="0"/>
        <v>[273-552]</v>
      </c>
      <c r="D12" t="str">
        <f t="shared" si="6"/>
        <v>[0-273][273-552]</v>
      </c>
      <c r="F12" s="12"/>
      <c r="G12" s="5" t="str">
        <v>[273-552][0-273]</v>
      </c>
      <c r="H12" cm="1">
        <f t="array" ref="H12">SUM(($D$3:$D$86=$G12)*($C$4:$C$87=H$9))</f>
        <v>1</v>
      </c>
      <c r="I12" cm="1">
        <f t="array" ref="I12">SUM(($D$3:$D$86=$G12)*($C$4:$C$87=I$9))</f>
        <v>1</v>
      </c>
      <c r="J12" cm="1">
        <f t="array" ref="J12">SUM(($D$3:$D$86=$G12)*($C$4:$C$87=J$9))</f>
        <v>0</v>
      </c>
      <c r="K12" cm="1">
        <f t="array" ref="K12">SUM(($D$3:$D$86=$G12)*($C$4:$C$87=K$9))</f>
        <v>0</v>
      </c>
      <c r="L12" cm="1">
        <f t="array" ref="L12">SUM(($D$3:$D$86=$G12)*($C$4:$C$87=L$9))</f>
        <v>0</v>
      </c>
      <c r="N12" t="str">
        <v>[552-720][875+]</v>
      </c>
      <c r="O12">
        <f t="shared" si="3"/>
        <v>3</v>
      </c>
      <c r="P12" s="18">
        <f t="shared" si="4"/>
        <v>3.5294117647058823E-2</v>
      </c>
      <c r="Q12">
        <f t="shared" si="5"/>
        <v>3.0058756433973288E-4</v>
      </c>
    </row>
    <row r="13" spans="1:18" x14ac:dyDescent="0.25">
      <c r="A13" s="1">
        <v>1952</v>
      </c>
      <c r="B13">
        <v>620</v>
      </c>
      <c r="C13" s="1" t="str">
        <f t="shared" si="0"/>
        <v>[552-720]</v>
      </c>
      <c r="D13" t="str">
        <f t="shared" si="6"/>
        <v>[273-552][552-720]</v>
      </c>
      <c r="F13" s="12"/>
      <c r="G13" s="5" t="str">
        <v>[273-552][273-552]</v>
      </c>
      <c r="H13" cm="1">
        <f t="array" ref="H13">SUM(($D$3:$D$86=$G13)*($C$4:$C$87=H$9))</f>
        <v>1</v>
      </c>
      <c r="I13" cm="1">
        <f t="array" ref="I13">SUM(($D$3:$D$86=$G13)*($C$4:$C$87=I$9))</f>
        <v>1</v>
      </c>
      <c r="J13" cm="1">
        <f t="array" ref="J13">SUM(($D$3:$D$86=$G13)*($C$4:$C$87=J$9))</f>
        <v>1</v>
      </c>
      <c r="K13" cm="1">
        <f t="array" ref="K13">SUM(($D$3:$D$86=$G13)*($C$4:$C$87=K$9))</f>
        <v>2</v>
      </c>
      <c r="L13" cm="1">
        <f t="array" ref="L13">SUM(($D$3:$D$86=$G13)*($C$4:$C$87=L$9))</f>
        <v>0</v>
      </c>
      <c r="N13" t="str">
        <v>[720-875][273-552]</v>
      </c>
      <c r="O13">
        <f t="shared" si="3"/>
        <v>5</v>
      </c>
      <c r="P13" s="18">
        <f t="shared" si="4"/>
        <v>5.8823529411764705E-2</v>
      </c>
      <c r="Q13">
        <f t="shared" si="5"/>
        <v>3.8340250553537392E-5</v>
      </c>
    </row>
    <row r="14" spans="1:18" x14ac:dyDescent="0.25">
      <c r="A14" s="1">
        <v>1953</v>
      </c>
      <c r="B14">
        <v>790</v>
      </c>
      <c r="C14" s="1" t="str">
        <f t="shared" si="0"/>
        <v>[720-875]</v>
      </c>
      <c r="D14" t="str">
        <f t="shared" si="6"/>
        <v>[552-720][720-875]</v>
      </c>
      <c r="F14" s="12"/>
      <c r="G14" s="5" t="str">
        <v>[273-552][552-720]</v>
      </c>
      <c r="H14" cm="1">
        <f t="array" ref="H14">SUM(($D$3:$D$86=$G14)*($C$4:$C$87=H$9))</f>
        <v>0</v>
      </c>
      <c r="I14" cm="1">
        <f t="array" ref="I14">SUM(($D$3:$D$86=$G14)*($C$4:$C$87=I$9))</f>
        <v>1</v>
      </c>
      <c r="J14" cm="1">
        <f t="array" ref="J14">SUM(($D$3:$D$86=$G14)*($C$4:$C$87=J$9))</f>
        <v>2</v>
      </c>
      <c r="K14" cm="1">
        <f t="array" ref="K14">SUM(($D$3:$D$86=$G14)*($C$4:$C$87=K$9))</f>
        <v>2</v>
      </c>
      <c r="L14" cm="1">
        <f t="array" ref="L14">SUM(($D$3:$D$86=$G14)*($C$4:$C$87=L$9))</f>
        <v>0</v>
      </c>
      <c r="N14" t="str">
        <v>[720-875][552-720]</v>
      </c>
      <c r="O14">
        <f t="shared" si="3"/>
        <v>6</v>
      </c>
      <c r="P14" s="18">
        <f t="shared" si="4"/>
        <v>7.0588235294117646E-2</v>
      </c>
      <c r="Q14">
        <f t="shared" si="5"/>
        <v>3.2244150715524935E-4</v>
      </c>
      <c r="R14" s="19">
        <f>SUM(Q2:Q62)*1000</f>
        <v>7.8528501183755246</v>
      </c>
    </row>
    <row r="15" spans="1:18" x14ac:dyDescent="0.25">
      <c r="A15" s="1">
        <v>1954</v>
      </c>
      <c r="B15">
        <v>880</v>
      </c>
      <c r="C15" s="1" t="str">
        <f t="shared" si="0"/>
        <v>[875+]</v>
      </c>
      <c r="D15" t="str">
        <f t="shared" si="6"/>
        <v>[720-875][875+]</v>
      </c>
      <c r="F15" s="12"/>
      <c r="G15" s="5" t="str">
        <v>[273-552][720-875]</v>
      </c>
      <c r="H15" cm="1">
        <f t="array" ref="H15">SUM(($D$3:$D$86=$G15)*($C$4:$C$87=H$9))</f>
        <v>0</v>
      </c>
      <c r="I15" cm="1">
        <f t="array" ref="I15">SUM(($D$3:$D$86=$G15)*($C$4:$C$87=I$9))</f>
        <v>1</v>
      </c>
      <c r="J15" cm="1">
        <f t="array" ref="J15">SUM(($D$3:$D$86=$G15)*($C$4:$C$87=J$9))</f>
        <v>2</v>
      </c>
      <c r="K15" cm="1">
        <f t="array" ref="K15">SUM(($D$3:$D$86=$G15)*($C$4:$C$87=K$9))</f>
        <v>2</v>
      </c>
      <c r="L15" cm="1">
        <f t="array" ref="L15">SUM(($D$3:$D$86=$G15)*($C$4:$C$87=L$9))</f>
        <v>0</v>
      </c>
      <c r="N15" t="str">
        <v>[720-875][720-875]</v>
      </c>
      <c r="O15">
        <f t="shared" si="3"/>
        <v>5</v>
      </c>
      <c r="P15" s="18">
        <f t="shared" si="4"/>
        <v>5.8823529411764705E-2</v>
      </c>
      <c r="Q15">
        <f t="shared" si="5"/>
        <v>3.8340250553537392E-5</v>
      </c>
      <c r="R15" t="s">
        <v>29</v>
      </c>
    </row>
    <row r="16" spans="1:18" x14ac:dyDescent="0.25">
      <c r="A16" s="1">
        <v>1955</v>
      </c>
      <c r="B16">
        <v>560</v>
      </c>
      <c r="C16" s="1" t="str">
        <f t="shared" si="0"/>
        <v>[552-720]</v>
      </c>
      <c r="D16" t="str">
        <f t="shared" si="6"/>
        <v>[875+][552-720]</v>
      </c>
      <c r="F16" s="12"/>
      <c r="G16" s="5" t="str">
        <v>[273-552][875+]</v>
      </c>
      <c r="H16" cm="1">
        <f t="array" ref="H16">SUM(($D$3:$D$86=$G16)*($C$4:$C$87=H$9))</f>
        <v>0</v>
      </c>
      <c r="I16" cm="1">
        <f t="array" ref="I16">SUM(($D$3:$D$86=$G16)*($C$4:$C$87=I$9))</f>
        <v>2</v>
      </c>
      <c r="J16" cm="1">
        <f t="array" ref="J16">SUM(($D$3:$D$86=$G16)*($C$4:$C$87=J$9))</f>
        <v>0</v>
      </c>
      <c r="K16" cm="1">
        <f t="array" ref="K16">SUM(($D$3:$D$86=$G16)*($C$4:$C$87=K$9))</f>
        <v>0</v>
      </c>
      <c r="L16" cm="1">
        <f t="array" ref="L16">SUM(($D$3:$D$86=$G16)*($C$4:$C$87=L$9))</f>
        <v>2</v>
      </c>
      <c r="N16" t="str">
        <v>[720-875][875+]</v>
      </c>
      <c r="O16">
        <f t="shared" si="3"/>
        <v>5</v>
      </c>
      <c r="P16" s="18">
        <f t="shared" si="4"/>
        <v>5.8823529411764705E-2</v>
      </c>
      <c r="Q16">
        <f t="shared" si="5"/>
        <v>3.8340250553537392E-5</v>
      </c>
    </row>
    <row r="17" spans="1:17" x14ac:dyDescent="0.25">
      <c r="A17" s="1">
        <v>1956</v>
      </c>
      <c r="B17">
        <v>455</v>
      </c>
      <c r="C17" s="1" t="str">
        <f t="shared" si="0"/>
        <v>[273-552]</v>
      </c>
      <c r="D17" t="str">
        <f t="shared" si="6"/>
        <v>[552-720][273-552]</v>
      </c>
      <c r="F17" s="12"/>
      <c r="G17" s="5" t="str">
        <v>[552-720][273-552]</v>
      </c>
      <c r="H17" cm="1">
        <f t="array" ref="H17">SUM(($D$3:$D$86=$G17)*($C$4:$C$87=H$9))</f>
        <v>1</v>
      </c>
      <c r="I17" cm="1">
        <f t="array" ref="I17">SUM(($D$3:$D$86=$G17)*($C$4:$C$87=I$9))</f>
        <v>0</v>
      </c>
      <c r="J17" cm="1">
        <f t="array" ref="J17">SUM(($D$3:$D$86=$G17)*($C$4:$C$87=J$9))</f>
        <v>0</v>
      </c>
      <c r="K17" cm="1">
        <f t="array" ref="K17">SUM(($D$3:$D$86=$G17)*($C$4:$C$87=K$9))</f>
        <v>2</v>
      </c>
      <c r="L17" cm="1">
        <f t="array" ref="L17">SUM(($D$3:$D$86=$G17)*($C$4:$C$87=L$9))</f>
        <v>1</v>
      </c>
      <c r="N17" t="str">
        <v>[875+][273-552]</v>
      </c>
      <c r="O17">
        <f t="shared" si="3"/>
        <v>6</v>
      </c>
      <c r="P17" s="18">
        <f t="shared" si="4"/>
        <v>7.0588235294117646E-2</v>
      </c>
      <c r="Q17">
        <f t="shared" si="5"/>
        <v>3.2244150715524935E-4</v>
      </c>
    </row>
    <row r="18" spans="1:17" x14ac:dyDescent="0.25">
      <c r="A18" s="1">
        <v>1957</v>
      </c>
      <c r="B18">
        <v>1240</v>
      </c>
      <c r="C18" s="1" t="str">
        <f t="shared" si="0"/>
        <v>[875+]</v>
      </c>
      <c r="D18" t="str">
        <f t="shared" si="6"/>
        <v>[273-552][875+]</v>
      </c>
      <c r="F18" s="12"/>
      <c r="G18" s="5" t="str">
        <v>[552-720][552-720]</v>
      </c>
      <c r="H18" cm="1">
        <f t="array" ref="H18">SUM(($D$3:$D$86=$G18)*($C$4:$C$87=H$9))</f>
        <v>0</v>
      </c>
      <c r="I18" cm="1">
        <f t="array" ref="I18">SUM(($D$3:$D$86=$G18)*($C$4:$C$87=I$9))</f>
        <v>0</v>
      </c>
      <c r="J18" cm="1">
        <f t="array" ref="J18">SUM(($D$3:$D$86=$G18)*($C$4:$C$87=J$9))</f>
        <v>2</v>
      </c>
      <c r="K18" cm="1">
        <f t="array" ref="K18">SUM(($D$3:$D$86=$G18)*($C$4:$C$87=K$9))</f>
        <v>3</v>
      </c>
      <c r="L18" cm="1">
        <f t="array" ref="L18">SUM(($D$3:$D$86=$G18)*($C$4:$C$87=L$9))</f>
        <v>1</v>
      </c>
      <c r="N18" t="str">
        <v>[875+][552-720]</v>
      </c>
      <c r="O18">
        <f t="shared" si="3"/>
        <v>4</v>
      </c>
      <c r="P18" s="18">
        <f t="shared" si="4"/>
        <v>4.7058823529411764E-2</v>
      </c>
      <c r="Q18">
        <f t="shared" si="5"/>
        <v>3.105560294836524E-5</v>
      </c>
    </row>
    <row r="19" spans="1:17" x14ac:dyDescent="0.25">
      <c r="A19" s="1">
        <v>1958</v>
      </c>
      <c r="B19">
        <v>410</v>
      </c>
      <c r="C19" s="1" t="str">
        <f t="shared" si="0"/>
        <v>[273-552]</v>
      </c>
      <c r="D19" t="str">
        <f t="shared" si="6"/>
        <v>[875+][273-552]</v>
      </c>
      <c r="F19" s="12"/>
      <c r="G19" s="5" t="str">
        <v>[552-720][720-875]</v>
      </c>
      <c r="H19" cm="1">
        <f t="array" ref="H19">SUM(($D$3:$D$86=$G19)*($C$4:$C$87=H$9))</f>
        <v>0</v>
      </c>
      <c r="I19" cm="1">
        <f t="array" ref="I19">SUM(($D$3:$D$86=$G19)*($C$4:$C$87=I$9))</f>
        <v>0</v>
      </c>
      <c r="J19" cm="1">
        <f t="array" ref="J19">SUM(($D$3:$D$86=$G19)*($C$4:$C$87=J$9))</f>
        <v>1</v>
      </c>
      <c r="K19" cm="1">
        <f t="array" ref="K19">SUM(($D$3:$D$86=$G19)*($C$4:$C$87=K$9))</f>
        <v>3</v>
      </c>
      <c r="L19" cm="1">
        <f t="array" ref="L19">SUM(($D$3:$D$86=$G19)*($C$4:$C$87=L$9))</f>
        <v>4</v>
      </c>
      <c r="N19" s="17" t="str">
        <v>[875+][720-875]</v>
      </c>
      <c r="O19">
        <f t="shared" si="3"/>
        <v>2</v>
      </c>
      <c r="P19" s="18">
        <f t="shared" si="4"/>
        <v>2.3529411764705882E-2</v>
      </c>
      <c r="Q19">
        <f t="shared" si="5"/>
        <v>8.4693613472764024E-4</v>
      </c>
    </row>
    <row r="20" spans="1:17" x14ac:dyDescent="0.25">
      <c r="A20" s="1">
        <v>1959</v>
      </c>
      <c r="B20">
        <v>580</v>
      </c>
      <c r="C20" s="1" t="str">
        <f t="shared" si="0"/>
        <v>[552-720]</v>
      </c>
      <c r="D20" t="str">
        <f t="shared" si="6"/>
        <v>[273-552][552-720]</v>
      </c>
      <c r="F20" s="12"/>
      <c r="G20" s="5" t="str">
        <v>[552-720][875+]</v>
      </c>
      <c r="H20" cm="1">
        <f t="array" ref="H20">SUM(($D$3:$D$86=$G20)*($C$4:$C$87=H$9))</f>
        <v>0</v>
      </c>
      <c r="I20" cm="1">
        <f t="array" ref="I20">SUM(($D$3:$D$86=$G20)*($C$4:$C$87=I$9))</f>
        <v>0</v>
      </c>
      <c r="J20" cm="1">
        <f t="array" ref="J20">SUM(($D$3:$D$86=$G20)*($C$4:$C$87=J$9))</f>
        <v>2</v>
      </c>
      <c r="K20" cm="1">
        <f t="array" ref="K20">SUM(($D$3:$D$86=$G20)*($C$4:$C$87=K$9))</f>
        <v>1</v>
      </c>
      <c r="L20" cm="1">
        <f t="array" ref="L20">SUM(($D$3:$D$86=$G20)*($C$4:$C$87=L$9))</f>
        <v>0</v>
      </c>
      <c r="N20" s="17" t="str">
        <v>[875+][875+]</v>
      </c>
      <c r="O20">
        <f t="shared" si="3"/>
        <v>6</v>
      </c>
      <c r="P20" s="18">
        <f t="shared" si="4"/>
        <v>7.0588235294117646E-2</v>
      </c>
      <c r="Q20">
        <f t="shared" si="5"/>
        <v>3.2244150715524935E-4</v>
      </c>
    </row>
    <row r="21" spans="1:17" x14ac:dyDescent="0.25">
      <c r="A21" s="1">
        <v>1960</v>
      </c>
      <c r="B21">
        <v>490</v>
      </c>
      <c r="C21" s="1" t="str">
        <f t="shared" si="0"/>
        <v>[273-552]</v>
      </c>
      <c r="D21" t="str">
        <f t="shared" si="6"/>
        <v>[552-720][273-552]</v>
      </c>
      <c r="F21" s="12"/>
      <c r="G21" s="5" t="str">
        <v>[720-875][273-552]</v>
      </c>
      <c r="H21" cm="1">
        <f t="array" ref="H21">SUM(($D$3:$D$86=$G21)*($C$4:$C$87=H$9))</f>
        <v>0</v>
      </c>
      <c r="I21" cm="1">
        <f t="array" ref="I21">SUM(($D$3:$D$86=$G21)*($C$4:$C$87=I$9))</f>
        <v>2</v>
      </c>
      <c r="J21" cm="1">
        <f t="array" ref="J21">SUM(($D$3:$D$86=$G21)*($C$4:$C$87=J$9))</f>
        <v>1</v>
      </c>
      <c r="K21" cm="1">
        <f t="array" ref="K21">SUM(($D$3:$D$86=$G21)*($C$4:$C$87=K$9))</f>
        <v>0</v>
      </c>
      <c r="L21" cm="1">
        <f t="array" ref="L21">SUM(($D$3:$D$86=$G21)*($C$4:$C$87=L$9))</f>
        <v>2</v>
      </c>
      <c r="N21" s="17"/>
      <c r="P21" s="18"/>
    </row>
    <row r="22" spans="1:17" x14ac:dyDescent="0.25">
      <c r="A22" s="1">
        <v>1961</v>
      </c>
      <c r="B22">
        <v>820</v>
      </c>
      <c r="C22" s="1" t="str">
        <f t="shared" si="0"/>
        <v>[720-875]</v>
      </c>
      <c r="D22" t="str">
        <f t="shared" si="6"/>
        <v>[273-552][720-875]</v>
      </c>
      <c r="F22" s="12"/>
      <c r="G22" s="5" t="str">
        <v>[720-875][552-720]</v>
      </c>
      <c r="H22" cm="1">
        <f t="array" ref="H22">SUM(($D$3:$D$86=$G22)*($C$4:$C$87=H$9))</f>
        <v>0</v>
      </c>
      <c r="I22" cm="1">
        <f t="array" ref="I22">SUM(($D$3:$D$86=$G22)*($C$4:$C$87=I$9))</f>
        <v>2</v>
      </c>
      <c r="J22" cm="1">
        <f t="array" ref="J22">SUM(($D$3:$D$86=$G22)*($C$4:$C$87=J$9))</f>
        <v>2</v>
      </c>
      <c r="K22" cm="1">
        <f t="array" ref="K22">SUM(($D$3:$D$86=$G22)*($C$4:$C$87=K$9))</f>
        <v>0</v>
      </c>
      <c r="L22" cm="1">
        <f t="array" ref="L22">SUM(($D$3:$D$86=$G22)*($C$4:$C$87=L$9))</f>
        <v>2</v>
      </c>
      <c r="N22" s="17"/>
      <c r="P22" s="18"/>
    </row>
    <row r="23" spans="1:17" x14ac:dyDescent="0.25">
      <c r="A23" s="1">
        <v>1962</v>
      </c>
      <c r="B23">
        <v>530</v>
      </c>
      <c r="C23" s="1" t="str">
        <f t="shared" si="0"/>
        <v>[273-552]</v>
      </c>
      <c r="D23" t="str">
        <f t="shared" si="6"/>
        <v>[720-875][273-552]</v>
      </c>
      <c r="F23" s="12"/>
      <c r="G23" s="5" t="str">
        <v>[720-875][720-875]</v>
      </c>
      <c r="H23" cm="1">
        <f t="array" ref="H23">SUM(($D$3:$D$86=$G23)*($C$4:$C$87=H$9))</f>
        <v>0</v>
      </c>
      <c r="I23" cm="1">
        <f t="array" ref="I23">SUM(($D$3:$D$86=$G23)*($C$4:$C$87=I$9))</f>
        <v>2</v>
      </c>
      <c r="J23" cm="1">
        <f t="array" ref="J23">SUM(($D$3:$D$86=$G23)*($C$4:$C$87=J$9))</f>
        <v>2</v>
      </c>
      <c r="K23" cm="1">
        <f t="array" ref="K23">SUM(($D$3:$D$86=$G23)*($C$4:$C$87=K$9))</f>
        <v>0</v>
      </c>
      <c r="L23" cm="1">
        <f t="array" ref="L23">SUM(($D$3:$D$86=$G23)*($C$4:$C$87=L$9))</f>
        <v>1</v>
      </c>
      <c r="N23" s="17"/>
      <c r="P23" s="18"/>
    </row>
    <row r="24" spans="1:17" x14ac:dyDescent="0.25">
      <c r="A24" s="1">
        <v>1963</v>
      </c>
      <c r="B24">
        <v>980</v>
      </c>
      <c r="C24" s="1" t="str">
        <f t="shared" si="0"/>
        <v>[875+]</v>
      </c>
      <c r="D24" t="str">
        <f t="shared" si="6"/>
        <v>[273-552][875+]</v>
      </c>
      <c r="F24" s="12"/>
      <c r="G24" s="5" t="str">
        <v>[720-875][875+]</v>
      </c>
      <c r="H24" cm="1">
        <f t="array" ref="H24">SUM(($D$3:$D$86=$G24)*($C$4:$C$87=H$9))</f>
        <v>0</v>
      </c>
      <c r="I24" cm="1">
        <f t="array" ref="I24">SUM(($D$3:$D$86=$G24)*($C$4:$C$87=I$9))</f>
        <v>3</v>
      </c>
      <c r="J24" cm="1">
        <f t="array" ref="J24">SUM(($D$3:$D$86=$G24)*($C$4:$C$87=J$9))</f>
        <v>1</v>
      </c>
      <c r="K24" cm="1">
        <f t="array" ref="K24">SUM(($D$3:$D$86=$G24)*($C$4:$C$87=K$9))</f>
        <v>0</v>
      </c>
      <c r="L24" cm="1">
        <f t="array" ref="L24">SUM(($D$3:$D$86=$G24)*($C$4:$C$87=L$9))</f>
        <v>1</v>
      </c>
      <c r="P24" s="18"/>
    </row>
    <row r="25" spans="1:17" x14ac:dyDescent="0.25">
      <c r="A25" s="1">
        <v>1964</v>
      </c>
      <c r="B25">
        <v>490</v>
      </c>
      <c r="C25" s="1" t="str">
        <f t="shared" si="0"/>
        <v>[273-552]</v>
      </c>
      <c r="D25" t="str">
        <f t="shared" si="6"/>
        <v>[875+][273-552]</v>
      </c>
      <c r="F25" s="12"/>
      <c r="G25" s="5" t="str">
        <v>[875+][273-552]</v>
      </c>
      <c r="H25" cm="1">
        <f t="array" ref="H25">SUM(($D$3:$D$86=$G25)*($C$4:$C$87=H$9))</f>
        <v>0</v>
      </c>
      <c r="I25" cm="1">
        <f t="array" ref="I25">SUM(($D$3:$D$86=$G25)*($C$4:$C$87=I$9))</f>
        <v>2</v>
      </c>
      <c r="J25" cm="1">
        <f t="array" ref="J25">SUM(($D$3:$D$86=$G25)*($C$4:$C$87=J$9))</f>
        <v>2</v>
      </c>
      <c r="K25" cm="1">
        <f t="array" ref="K25">SUM(($D$3:$D$86=$G25)*($C$4:$C$87=K$9))</f>
        <v>1</v>
      </c>
      <c r="L25" cm="1">
        <f t="array" ref="L25">SUM(($D$3:$D$86=$G25)*($C$4:$C$87=L$9))</f>
        <v>1</v>
      </c>
      <c r="P25" s="18"/>
    </row>
    <row r="26" spans="1:17" x14ac:dyDescent="0.25">
      <c r="A26" s="1">
        <v>1965</v>
      </c>
      <c r="B26">
        <v>490</v>
      </c>
      <c r="C26" s="1" t="str">
        <f t="shared" si="0"/>
        <v>[273-552]</v>
      </c>
      <c r="D26" t="str">
        <f t="shared" si="6"/>
        <v>[273-552][273-552]</v>
      </c>
      <c r="F26" s="12"/>
      <c r="G26" s="5" t="str">
        <v>[875+][552-720]</v>
      </c>
      <c r="H26" cm="1">
        <f t="array" ref="H26">SUM(($D$3:$D$86=$G26)*($C$4:$C$87=H$9))</f>
        <v>0</v>
      </c>
      <c r="I26" cm="1">
        <f t="array" ref="I26">SUM(($D$3:$D$86=$G26)*($C$4:$C$87=I$9))</f>
        <v>1</v>
      </c>
      <c r="J26" cm="1">
        <f t="array" ref="J26">SUM(($D$3:$D$86=$G26)*($C$4:$C$87=J$9))</f>
        <v>0</v>
      </c>
      <c r="K26" cm="1">
        <f t="array" ref="K26">SUM(($D$3:$D$86=$G26)*($C$4:$C$87=K$9))</f>
        <v>3</v>
      </c>
      <c r="L26" cm="1">
        <f t="array" ref="L26">SUM(($D$3:$D$86=$G26)*($C$4:$C$87=L$9))</f>
        <v>0</v>
      </c>
      <c r="P26" s="18"/>
    </row>
    <row r="27" spans="1:17" x14ac:dyDescent="0.25">
      <c r="A27" s="1">
        <v>1966</v>
      </c>
      <c r="B27">
        <v>385</v>
      </c>
      <c r="C27" s="1" t="str">
        <f t="shared" si="0"/>
        <v>[273-552]</v>
      </c>
      <c r="D27" t="str">
        <f t="shared" si="6"/>
        <v>[273-552][273-552]</v>
      </c>
      <c r="F27" s="12"/>
      <c r="G27" s="5" t="str">
        <v>[875+][720-875]</v>
      </c>
      <c r="H27" cm="1">
        <f t="array" ref="H27">SUM(($D$3:$D$86=$G27)*($C$4:$C$87=H$9))</f>
        <v>0</v>
      </c>
      <c r="I27" cm="1">
        <f t="array" ref="I27">SUM(($D$3:$D$86=$G27)*($C$4:$C$87=I$9))</f>
        <v>1</v>
      </c>
      <c r="J27" cm="1">
        <f t="array" ref="J27">SUM(($D$3:$D$86=$G27)*($C$4:$C$87=J$9))</f>
        <v>1</v>
      </c>
      <c r="K27" cm="1">
        <f t="array" ref="K27">SUM(($D$3:$D$86=$G27)*($C$4:$C$87=K$9))</f>
        <v>0</v>
      </c>
      <c r="L27" cm="1">
        <f t="array" ref="L27">SUM(($D$3:$D$86=$G27)*($C$4:$C$87=L$9))</f>
        <v>0</v>
      </c>
      <c r="P27" s="18"/>
    </row>
    <row r="28" spans="1:17" x14ac:dyDescent="0.25">
      <c r="A28" s="1">
        <v>1967</v>
      </c>
      <c r="B28">
        <v>670</v>
      </c>
      <c r="C28" s="1" t="str">
        <f t="shared" si="0"/>
        <v>[552-720]</v>
      </c>
      <c r="D28" t="str">
        <f t="shared" si="6"/>
        <v>[273-552][552-720]</v>
      </c>
      <c r="F28" s="12"/>
      <c r="G28" s="5" t="str">
        <v>[875+][875+]</v>
      </c>
      <c r="H28" cm="1">
        <f t="array" ref="H28">SUM(($D$3:$D$86=$G28)*($C$4:$C$87=H$9))</f>
        <v>0</v>
      </c>
      <c r="I28" cm="1">
        <f t="array" ref="I28">SUM(($D$3:$D$86=$G28)*($C$4:$C$87=I$9))</f>
        <v>1</v>
      </c>
      <c r="J28" cm="1">
        <f t="array" ref="J28">SUM(($D$3:$D$86=$G28)*($C$4:$C$87=J$9))</f>
        <v>1</v>
      </c>
      <c r="K28" cm="1">
        <f t="array" ref="K28">SUM(($D$3:$D$86=$G28)*($C$4:$C$87=K$9))</f>
        <v>1</v>
      </c>
      <c r="L28" cm="1">
        <f t="array" ref="L28">SUM(($D$3:$D$86=$G28)*($C$4:$C$87=L$9))</f>
        <v>3</v>
      </c>
      <c r="P28" s="18"/>
    </row>
    <row r="29" spans="1:17" x14ac:dyDescent="0.25">
      <c r="A29" s="1">
        <v>1968</v>
      </c>
      <c r="B29">
        <v>795</v>
      </c>
      <c r="C29" s="1" t="str">
        <f t="shared" si="0"/>
        <v>[720-875]</v>
      </c>
      <c r="D29" t="str">
        <f t="shared" si="6"/>
        <v>[552-720][720-875]</v>
      </c>
      <c r="P29" s="18"/>
    </row>
    <row r="30" spans="1:17" x14ac:dyDescent="0.25">
      <c r="A30" s="1">
        <v>1969</v>
      </c>
      <c r="B30">
        <v>1135</v>
      </c>
      <c r="C30" s="1" t="str">
        <f t="shared" si="0"/>
        <v>[875+]</v>
      </c>
      <c r="D30" t="str">
        <f t="shared" si="6"/>
        <v>[720-875][875+]</v>
      </c>
      <c r="H30" s="14" t="s">
        <v>28</v>
      </c>
      <c r="I30" s="14"/>
      <c r="J30" s="14"/>
      <c r="K30" s="14"/>
      <c r="L30" s="14"/>
      <c r="P30" s="18"/>
    </row>
    <row r="31" spans="1:17" x14ac:dyDescent="0.25">
      <c r="A31" s="1">
        <v>1970</v>
      </c>
      <c r="B31">
        <v>430</v>
      </c>
      <c r="C31" s="1" t="str">
        <f t="shared" si="0"/>
        <v>[273-552]</v>
      </c>
      <c r="D31" t="str">
        <f t="shared" si="6"/>
        <v>[875+][273-552]</v>
      </c>
      <c r="H31" s="11" t="str" cm="1">
        <f t="array" ref="H31:L31">TRANSPOSE($H$2:$H$6)</f>
        <v>[0-273]</v>
      </c>
      <c r="I31" s="11" t="str">
        <v>[273-552]</v>
      </c>
      <c r="J31" s="11" t="str">
        <v>[552-720]</v>
      </c>
      <c r="K31" s="11" t="str">
        <v>[720-875]</v>
      </c>
      <c r="L31" s="11" t="str">
        <v>[875+]</v>
      </c>
      <c r="P31" s="18"/>
    </row>
    <row r="32" spans="1:17" x14ac:dyDescent="0.25">
      <c r="A32" s="1">
        <v>1971</v>
      </c>
      <c r="B32">
        <v>770</v>
      </c>
      <c r="C32" s="1" t="str">
        <f t="shared" si="0"/>
        <v>[720-875]</v>
      </c>
      <c r="D32" t="str">
        <f t="shared" si="6"/>
        <v>[273-552][720-875]</v>
      </c>
      <c r="F32" s="12" t="s">
        <v>7</v>
      </c>
      <c r="G32" s="5" t="str" cm="1">
        <f t="array" ref="G32:G50">_xlfn.ANCHORARRAY(N2)</f>
        <v>[0-273][0-273]</v>
      </c>
      <c r="H32" s="18">
        <f>H10/SUM($H10:$L10)-$R$2</f>
        <v>-5.2631578947368418E-2</v>
      </c>
      <c r="I32" s="18">
        <f t="shared" ref="I32:L32" si="7">I10/SUM($H10:$L10)-$R$2</f>
        <v>0.94736842105263164</v>
      </c>
      <c r="J32" s="18">
        <f t="shared" si="7"/>
        <v>-5.2631578947368418E-2</v>
      </c>
      <c r="K32" s="18">
        <f t="shared" si="7"/>
        <v>-5.2631578947368418E-2</v>
      </c>
      <c r="L32" s="18">
        <f t="shared" si="7"/>
        <v>-5.2631578947368418E-2</v>
      </c>
      <c r="P32" s="18"/>
    </row>
    <row r="33" spans="1:16" x14ac:dyDescent="0.25">
      <c r="A33" s="1">
        <v>1972</v>
      </c>
      <c r="B33">
        <v>820</v>
      </c>
      <c r="C33" s="1" t="str">
        <f t="shared" si="0"/>
        <v>[720-875]</v>
      </c>
      <c r="D33" t="str">
        <f t="shared" si="6"/>
        <v>[720-875][720-875]</v>
      </c>
      <c r="F33" s="12"/>
      <c r="G33" s="5" t="str">
        <v>[0-273][273-552]</v>
      </c>
      <c r="H33" s="18">
        <f t="shared" ref="H33:L48" si="8">H11/SUM($H11:$L11)-$R$2</f>
        <v>-5.2631578947368418E-2</v>
      </c>
      <c r="I33" s="18">
        <f t="shared" si="8"/>
        <v>-5.2631578947368418E-2</v>
      </c>
      <c r="J33" s="18">
        <f t="shared" si="8"/>
        <v>0.44736842105263158</v>
      </c>
      <c r="K33" s="18">
        <f t="shared" si="8"/>
        <v>-5.2631578947368418E-2</v>
      </c>
      <c r="L33" s="18">
        <f t="shared" si="8"/>
        <v>0.44736842105263158</v>
      </c>
      <c r="P33" s="18"/>
    </row>
    <row r="34" spans="1:16" x14ac:dyDescent="0.25">
      <c r="A34" s="1">
        <v>1973</v>
      </c>
      <c r="B34">
        <v>585</v>
      </c>
      <c r="C34" s="1" t="str">
        <f t="shared" si="0"/>
        <v>[552-720]</v>
      </c>
      <c r="D34" t="str">
        <f t="shared" si="6"/>
        <v>[720-875][552-720]</v>
      </c>
      <c r="F34" s="12"/>
      <c r="G34" s="5" t="str">
        <v>[273-552][0-273]</v>
      </c>
      <c r="H34" s="18">
        <f t="shared" si="8"/>
        <v>0.44736842105263158</v>
      </c>
      <c r="I34" s="18">
        <f t="shared" si="8"/>
        <v>0.44736842105263158</v>
      </c>
      <c r="J34" s="18">
        <f t="shared" si="8"/>
        <v>-5.2631578947368418E-2</v>
      </c>
      <c r="K34" s="18">
        <f t="shared" si="8"/>
        <v>-5.2631578947368418E-2</v>
      </c>
      <c r="L34" s="18">
        <f t="shared" si="8"/>
        <v>-5.2631578947368418E-2</v>
      </c>
      <c r="P34" s="18"/>
    </row>
    <row r="35" spans="1:16" x14ac:dyDescent="0.25">
      <c r="A35" s="1">
        <v>1974</v>
      </c>
      <c r="B35">
        <v>995</v>
      </c>
      <c r="C35" s="1" t="str">
        <f t="shared" si="0"/>
        <v>[875+]</v>
      </c>
      <c r="D35" t="str">
        <f t="shared" si="6"/>
        <v>[552-720][875+]</v>
      </c>
      <c r="F35" s="12"/>
      <c r="G35" s="5" t="str">
        <v>[273-552][273-552]</v>
      </c>
      <c r="H35" s="18">
        <f t="shared" si="8"/>
        <v>0.14736842105263159</v>
      </c>
      <c r="I35" s="18">
        <f t="shared" si="8"/>
        <v>0.14736842105263159</v>
      </c>
      <c r="J35" s="18">
        <f t="shared" si="8"/>
        <v>0.14736842105263159</v>
      </c>
      <c r="K35" s="18">
        <f t="shared" si="8"/>
        <v>0.3473684210526316</v>
      </c>
      <c r="L35" s="18">
        <f t="shared" si="8"/>
        <v>-5.2631578947368418E-2</v>
      </c>
      <c r="P35" s="18"/>
    </row>
    <row r="36" spans="1:16" x14ac:dyDescent="0.25">
      <c r="A36" s="1">
        <v>1975</v>
      </c>
      <c r="B36">
        <v>660</v>
      </c>
      <c r="C36" s="1" t="str">
        <f t="shared" si="0"/>
        <v>[552-720]</v>
      </c>
      <c r="D36" t="str">
        <f t="shared" si="6"/>
        <v>[875+][552-720]</v>
      </c>
      <c r="F36" s="12"/>
      <c r="G36" s="5" t="str">
        <v>[273-552][552-720]</v>
      </c>
      <c r="H36" s="18">
        <f t="shared" si="8"/>
        <v>-5.2631578947368418E-2</v>
      </c>
      <c r="I36" s="18">
        <f t="shared" si="8"/>
        <v>0.14736842105263159</v>
      </c>
      <c r="J36" s="18">
        <f t="shared" si="8"/>
        <v>0.3473684210526316</v>
      </c>
      <c r="K36" s="18">
        <f t="shared" si="8"/>
        <v>0.3473684210526316</v>
      </c>
      <c r="L36" s="18">
        <f t="shared" si="8"/>
        <v>-5.2631578947368418E-2</v>
      </c>
      <c r="P36" s="18"/>
    </row>
    <row r="37" spans="1:16" x14ac:dyDescent="0.25">
      <c r="A37" s="1">
        <v>1976</v>
      </c>
      <c r="B37">
        <v>750</v>
      </c>
      <c r="C37" s="1" t="str">
        <f t="shared" si="0"/>
        <v>[720-875]</v>
      </c>
      <c r="D37" t="str">
        <f t="shared" si="6"/>
        <v>[552-720][720-875]</v>
      </c>
      <c r="F37" s="12"/>
      <c r="G37" s="5" t="str">
        <v>[273-552][720-875]</v>
      </c>
      <c r="H37" s="18">
        <f t="shared" si="8"/>
        <v>-5.2631578947368418E-2</v>
      </c>
      <c r="I37" s="18">
        <f t="shared" si="8"/>
        <v>0.14736842105263159</v>
      </c>
      <c r="J37" s="18">
        <f t="shared" si="8"/>
        <v>0.3473684210526316</v>
      </c>
      <c r="K37" s="18">
        <f t="shared" si="8"/>
        <v>0.3473684210526316</v>
      </c>
      <c r="L37" s="18">
        <f t="shared" si="8"/>
        <v>-5.2631578947368418E-2</v>
      </c>
      <c r="P37" s="18"/>
    </row>
    <row r="38" spans="1:16" x14ac:dyDescent="0.25">
      <c r="A38" s="1">
        <v>1977</v>
      </c>
      <c r="B38">
        <v>650</v>
      </c>
      <c r="C38" s="1" t="str">
        <f t="shared" si="0"/>
        <v>[552-720]</v>
      </c>
      <c r="D38" t="str">
        <f t="shared" si="6"/>
        <v>[720-875][552-720]</v>
      </c>
      <c r="F38" s="12"/>
      <c r="G38" s="5" t="str">
        <v>[273-552][875+]</v>
      </c>
      <c r="H38" s="18">
        <f t="shared" si="8"/>
        <v>-5.2631578947368418E-2</v>
      </c>
      <c r="I38" s="18">
        <f t="shared" si="8"/>
        <v>0.44736842105263158</v>
      </c>
      <c r="J38" s="18">
        <f t="shared" si="8"/>
        <v>-5.2631578947368418E-2</v>
      </c>
      <c r="K38" s="18">
        <f t="shared" si="8"/>
        <v>-5.2631578947368418E-2</v>
      </c>
      <c r="L38" s="18">
        <f t="shared" si="8"/>
        <v>0.44736842105263158</v>
      </c>
      <c r="P38" s="18"/>
    </row>
    <row r="39" spans="1:16" x14ac:dyDescent="0.25">
      <c r="A39" s="1">
        <v>1978</v>
      </c>
      <c r="B39">
        <v>700</v>
      </c>
      <c r="C39" s="1" t="str">
        <f t="shared" si="0"/>
        <v>[552-720]</v>
      </c>
      <c r="D39" t="str">
        <f t="shared" si="6"/>
        <v>[552-720][552-720]</v>
      </c>
      <c r="F39" s="12"/>
      <c r="G39" s="5" t="str">
        <v>[552-720][273-552]</v>
      </c>
      <c r="H39" s="18">
        <f t="shared" si="8"/>
        <v>0.19736842105263158</v>
      </c>
      <c r="I39" s="18">
        <f t="shared" si="8"/>
        <v>-5.2631578947368418E-2</v>
      </c>
      <c r="J39" s="18">
        <f t="shared" si="8"/>
        <v>-5.2631578947368418E-2</v>
      </c>
      <c r="K39" s="18">
        <f t="shared" si="8"/>
        <v>0.44736842105263158</v>
      </c>
      <c r="L39" s="18">
        <f t="shared" si="8"/>
        <v>0.19736842105263158</v>
      </c>
      <c r="P39" s="18"/>
    </row>
    <row r="40" spans="1:16" x14ac:dyDescent="0.25">
      <c r="A40" s="1">
        <v>1979</v>
      </c>
      <c r="B40">
        <v>680</v>
      </c>
      <c r="C40" s="1" t="str">
        <f t="shared" si="0"/>
        <v>[552-720]</v>
      </c>
      <c r="D40" t="str">
        <f t="shared" si="6"/>
        <v>[552-720][552-720]</v>
      </c>
      <c r="F40" s="12"/>
      <c r="G40" s="5" t="str">
        <v>[552-720][552-720]</v>
      </c>
      <c r="H40" s="18">
        <f t="shared" si="8"/>
        <v>-5.2631578947368418E-2</v>
      </c>
      <c r="I40" s="18">
        <f t="shared" si="8"/>
        <v>-5.2631578947368418E-2</v>
      </c>
      <c r="J40" s="18">
        <f t="shared" si="8"/>
        <v>0.2807017543859649</v>
      </c>
      <c r="K40" s="18">
        <f t="shared" si="8"/>
        <v>0.44736842105263158</v>
      </c>
      <c r="L40" s="18">
        <f t="shared" si="8"/>
        <v>0.11403508771929824</v>
      </c>
      <c r="P40" s="18"/>
    </row>
    <row r="41" spans="1:16" x14ac:dyDescent="0.25">
      <c r="A41" s="1">
        <v>1980</v>
      </c>
      <c r="B41">
        <v>570</v>
      </c>
      <c r="C41" s="1" t="str">
        <f t="shared" si="0"/>
        <v>[552-720]</v>
      </c>
      <c r="D41" t="str">
        <f t="shared" si="6"/>
        <v>[552-720][552-720]</v>
      </c>
      <c r="F41" s="12"/>
      <c r="G41" s="5" t="str">
        <v>[552-720][720-875]</v>
      </c>
      <c r="H41" s="18">
        <f t="shared" si="8"/>
        <v>-5.2631578947368418E-2</v>
      </c>
      <c r="I41" s="18">
        <f t="shared" si="8"/>
        <v>-5.2631578947368418E-2</v>
      </c>
      <c r="J41" s="18">
        <f t="shared" si="8"/>
        <v>7.2368421052631582E-2</v>
      </c>
      <c r="K41" s="18">
        <f t="shared" si="8"/>
        <v>0.32236842105263158</v>
      </c>
      <c r="L41" s="18">
        <f t="shared" si="8"/>
        <v>0.44736842105263158</v>
      </c>
      <c r="P41" s="18"/>
    </row>
    <row r="42" spans="1:16" x14ac:dyDescent="0.25">
      <c r="A42" s="1">
        <v>1981</v>
      </c>
      <c r="B42">
        <v>780</v>
      </c>
      <c r="C42" s="1" t="str">
        <f t="shared" si="0"/>
        <v>[720-875]</v>
      </c>
      <c r="D42" t="str">
        <f t="shared" si="6"/>
        <v>[552-720][720-875]</v>
      </c>
      <c r="F42" s="12"/>
      <c r="G42" s="5" t="str">
        <v>[552-720][875+]</v>
      </c>
      <c r="H42" s="18">
        <f t="shared" si="8"/>
        <v>-5.2631578947368418E-2</v>
      </c>
      <c r="I42" s="18">
        <f t="shared" si="8"/>
        <v>-5.2631578947368418E-2</v>
      </c>
      <c r="J42" s="18">
        <f t="shared" si="8"/>
        <v>0.61403508771929816</v>
      </c>
      <c r="K42" s="18">
        <f t="shared" si="8"/>
        <v>0.2807017543859649</v>
      </c>
      <c r="L42" s="18">
        <f t="shared" si="8"/>
        <v>-5.2631578947368418E-2</v>
      </c>
      <c r="P42" s="18"/>
    </row>
    <row r="43" spans="1:16" x14ac:dyDescent="0.25">
      <c r="A43" s="1">
        <v>1982</v>
      </c>
      <c r="B43">
        <v>970</v>
      </c>
      <c r="C43" s="1" t="str">
        <f t="shared" si="0"/>
        <v>[875+]</v>
      </c>
      <c r="D43" t="str">
        <f t="shared" si="6"/>
        <v>[720-875][875+]</v>
      </c>
      <c r="F43" s="12"/>
      <c r="G43" s="5" t="str">
        <v>[720-875][273-552]</v>
      </c>
      <c r="H43" s="18">
        <f t="shared" si="8"/>
        <v>-5.2631578947368418E-2</v>
      </c>
      <c r="I43" s="18">
        <f t="shared" si="8"/>
        <v>0.3473684210526316</v>
      </c>
      <c r="J43" s="18">
        <f t="shared" si="8"/>
        <v>0.14736842105263159</v>
      </c>
      <c r="K43" s="18">
        <f t="shared" si="8"/>
        <v>-5.2631578947368418E-2</v>
      </c>
      <c r="L43" s="18">
        <f t="shared" si="8"/>
        <v>0.3473684210526316</v>
      </c>
      <c r="P43" s="18"/>
    </row>
    <row r="44" spans="1:16" x14ac:dyDescent="0.25">
      <c r="A44" s="1">
        <v>1983</v>
      </c>
      <c r="B44">
        <v>485</v>
      </c>
      <c r="C44" s="1" t="str">
        <f t="shared" si="0"/>
        <v>[273-552]</v>
      </c>
      <c r="D44" t="str">
        <f t="shared" si="6"/>
        <v>[875+][273-552]</v>
      </c>
      <c r="F44" s="12"/>
      <c r="G44" s="5" t="str">
        <v>[720-875][552-720]</v>
      </c>
      <c r="H44" s="18">
        <f t="shared" si="8"/>
        <v>-5.2631578947368418E-2</v>
      </c>
      <c r="I44" s="18">
        <f t="shared" si="8"/>
        <v>0.2807017543859649</v>
      </c>
      <c r="J44" s="18">
        <f t="shared" si="8"/>
        <v>0.2807017543859649</v>
      </c>
      <c r="K44" s="18">
        <f t="shared" si="8"/>
        <v>-5.2631578947368418E-2</v>
      </c>
      <c r="L44" s="18">
        <f t="shared" si="8"/>
        <v>0.2807017543859649</v>
      </c>
      <c r="P44" s="18"/>
    </row>
    <row r="45" spans="1:16" x14ac:dyDescent="0.25">
      <c r="A45" s="1">
        <v>1984</v>
      </c>
      <c r="B45">
        <v>705</v>
      </c>
      <c r="C45" s="1" t="str">
        <f t="shared" si="0"/>
        <v>[552-720]</v>
      </c>
      <c r="D45" t="str">
        <f t="shared" si="6"/>
        <v>[273-552][552-720]</v>
      </c>
      <c r="F45" s="12"/>
      <c r="G45" s="5" t="str">
        <v>[720-875][720-875]</v>
      </c>
      <c r="H45" s="18">
        <f t="shared" si="8"/>
        <v>-5.2631578947368418E-2</v>
      </c>
      <c r="I45" s="18">
        <f t="shared" si="8"/>
        <v>0.3473684210526316</v>
      </c>
      <c r="J45" s="18">
        <f t="shared" si="8"/>
        <v>0.3473684210526316</v>
      </c>
      <c r="K45" s="18">
        <f t="shared" si="8"/>
        <v>-5.2631578947368418E-2</v>
      </c>
      <c r="L45" s="18">
        <f t="shared" si="8"/>
        <v>0.14736842105263159</v>
      </c>
      <c r="P45" s="18"/>
    </row>
    <row r="46" spans="1:16" x14ac:dyDescent="0.25">
      <c r="A46" s="1">
        <v>1985</v>
      </c>
      <c r="B46">
        <v>715</v>
      </c>
      <c r="C46" s="1" t="str">
        <f t="shared" si="0"/>
        <v>[552-720]</v>
      </c>
      <c r="D46" t="str">
        <f t="shared" si="6"/>
        <v>[552-720][552-720]</v>
      </c>
      <c r="F46" s="12"/>
      <c r="G46" s="5" t="str">
        <v>[720-875][875+]</v>
      </c>
      <c r="H46" s="18">
        <f t="shared" si="8"/>
        <v>-5.2631578947368418E-2</v>
      </c>
      <c r="I46" s="18">
        <f t="shared" si="8"/>
        <v>0.5473684210526315</v>
      </c>
      <c r="J46" s="18">
        <f t="shared" si="8"/>
        <v>0.14736842105263159</v>
      </c>
      <c r="K46" s="18">
        <f t="shared" si="8"/>
        <v>-5.2631578947368418E-2</v>
      </c>
      <c r="L46" s="18">
        <f t="shared" si="8"/>
        <v>0.14736842105263159</v>
      </c>
      <c r="P46" s="18"/>
    </row>
    <row r="47" spans="1:16" x14ac:dyDescent="0.25">
      <c r="A47" s="1">
        <v>1986</v>
      </c>
      <c r="B47">
        <v>725</v>
      </c>
      <c r="C47" s="1" t="str">
        <f t="shared" si="0"/>
        <v>[720-875]</v>
      </c>
      <c r="D47" t="str">
        <f t="shared" si="6"/>
        <v>[552-720][720-875]</v>
      </c>
      <c r="F47" s="12"/>
      <c r="G47" s="5" t="str">
        <v>[875+][273-552]</v>
      </c>
      <c r="H47" s="18">
        <f t="shared" si="8"/>
        <v>-5.2631578947368418E-2</v>
      </c>
      <c r="I47" s="18">
        <f t="shared" si="8"/>
        <v>0.2807017543859649</v>
      </c>
      <c r="J47" s="18">
        <f t="shared" si="8"/>
        <v>0.2807017543859649</v>
      </c>
      <c r="K47" s="18">
        <f t="shared" si="8"/>
        <v>0.11403508771929824</v>
      </c>
      <c r="L47" s="18">
        <f t="shared" si="8"/>
        <v>0.11403508771929824</v>
      </c>
      <c r="P47" s="18"/>
    </row>
    <row r="48" spans="1:16" x14ac:dyDescent="0.25">
      <c r="A48" s="1">
        <v>1987</v>
      </c>
      <c r="B48">
        <v>750</v>
      </c>
      <c r="C48" s="1" t="str">
        <f t="shared" si="0"/>
        <v>[720-875]</v>
      </c>
      <c r="D48" t="str">
        <f t="shared" si="6"/>
        <v>[720-875][720-875]</v>
      </c>
      <c r="F48" s="12"/>
      <c r="G48" s="5" t="str">
        <v>[875+][552-720]</v>
      </c>
      <c r="H48" s="18">
        <f t="shared" si="8"/>
        <v>-5.2631578947368418E-2</v>
      </c>
      <c r="I48" s="18">
        <f t="shared" si="8"/>
        <v>0.19736842105263158</v>
      </c>
      <c r="J48" s="18">
        <f t="shared" si="8"/>
        <v>-5.2631578947368418E-2</v>
      </c>
      <c r="K48" s="18">
        <f t="shared" si="8"/>
        <v>0.69736842105263164</v>
      </c>
      <c r="L48" s="18">
        <f t="shared" si="8"/>
        <v>-5.2631578947368418E-2</v>
      </c>
      <c r="P48" s="18"/>
    </row>
    <row r="49" spans="1:16" x14ac:dyDescent="0.25">
      <c r="A49" s="1">
        <v>1988</v>
      </c>
      <c r="B49">
        <v>902</v>
      </c>
      <c r="C49" s="1" t="str">
        <f t="shared" si="0"/>
        <v>[875+]</v>
      </c>
      <c r="D49" t="str">
        <f t="shared" si="6"/>
        <v>[720-875][875+]</v>
      </c>
      <c r="F49" s="12"/>
      <c r="G49" s="5" t="str">
        <v>[875+][720-875]</v>
      </c>
      <c r="H49" s="18">
        <f t="shared" ref="H49:L50" si="9">H27/SUM($H27:$L27)-$R$2</f>
        <v>-5.2631578947368418E-2</v>
      </c>
      <c r="I49" s="18">
        <f t="shared" si="9"/>
        <v>0.44736842105263158</v>
      </c>
      <c r="J49" s="18">
        <f t="shared" si="9"/>
        <v>0.44736842105263158</v>
      </c>
      <c r="K49" s="18">
        <f t="shared" si="9"/>
        <v>-5.2631578947368418E-2</v>
      </c>
      <c r="L49" s="18">
        <f t="shared" si="9"/>
        <v>-5.2631578947368418E-2</v>
      </c>
      <c r="P49" s="18"/>
    </row>
    <row r="50" spans="1:16" x14ac:dyDescent="0.25">
      <c r="A50" s="1">
        <v>1989</v>
      </c>
      <c r="B50">
        <v>498</v>
      </c>
      <c r="C50" s="1" t="str">
        <f t="shared" si="0"/>
        <v>[273-552]</v>
      </c>
      <c r="D50" t="str">
        <f t="shared" si="6"/>
        <v>[875+][273-552]</v>
      </c>
      <c r="F50" s="12"/>
      <c r="G50" s="5" t="str">
        <v>[875+][875+]</v>
      </c>
      <c r="H50" s="18">
        <f t="shared" si="9"/>
        <v>-5.2631578947368418E-2</v>
      </c>
      <c r="I50" s="18">
        <f t="shared" si="9"/>
        <v>0.11403508771929824</v>
      </c>
      <c r="J50" s="18">
        <f t="shared" si="9"/>
        <v>0.11403508771929824</v>
      </c>
      <c r="K50" s="18">
        <f t="shared" si="9"/>
        <v>0.11403508771929824</v>
      </c>
      <c r="L50" s="18">
        <f t="shared" si="9"/>
        <v>0.44736842105263158</v>
      </c>
      <c r="P50" s="18"/>
    </row>
    <row r="51" spans="1:16" x14ac:dyDescent="0.25">
      <c r="A51" s="1">
        <v>1990</v>
      </c>
      <c r="B51">
        <v>945</v>
      </c>
      <c r="C51" s="1" t="str">
        <f t="shared" si="0"/>
        <v>[875+]</v>
      </c>
      <c r="D51" t="str">
        <f t="shared" si="6"/>
        <v>[273-552][875+]</v>
      </c>
      <c r="P51" s="18"/>
    </row>
    <row r="52" spans="1:16" x14ac:dyDescent="0.25">
      <c r="A52" s="1">
        <v>1991</v>
      </c>
      <c r="B52">
        <v>935</v>
      </c>
      <c r="C52" s="1" t="str">
        <f t="shared" si="0"/>
        <v>[875+]</v>
      </c>
      <c r="D52" t="str">
        <f t="shared" si="6"/>
        <v>[875+][875+]</v>
      </c>
      <c r="P52" s="18"/>
    </row>
    <row r="53" spans="1:16" x14ac:dyDescent="0.25">
      <c r="A53" s="1">
        <v>1992</v>
      </c>
      <c r="B53">
        <v>1002</v>
      </c>
      <c r="C53" s="1" t="str">
        <f t="shared" si="0"/>
        <v>[875+]</v>
      </c>
      <c r="D53" t="str">
        <f t="shared" si="6"/>
        <v>[875+][875+]</v>
      </c>
      <c r="P53" s="18"/>
    </row>
    <row r="54" spans="1:16" x14ac:dyDescent="0.25">
      <c r="A54" s="1">
        <v>1993</v>
      </c>
      <c r="B54">
        <v>880</v>
      </c>
      <c r="C54" s="1" t="str">
        <f t="shared" si="0"/>
        <v>[875+]</v>
      </c>
      <c r="D54" t="str">
        <f t="shared" si="6"/>
        <v>[875+][875+]</v>
      </c>
      <c r="P54" s="18"/>
    </row>
    <row r="55" spans="1:16" x14ac:dyDescent="0.25">
      <c r="A55" s="1">
        <v>1994</v>
      </c>
      <c r="B55">
        <v>960</v>
      </c>
      <c r="C55" s="1" t="str">
        <f t="shared" si="0"/>
        <v>[875+]</v>
      </c>
      <c r="D55" t="str">
        <f t="shared" si="6"/>
        <v>[875+][875+]</v>
      </c>
      <c r="P55" s="18"/>
    </row>
    <row r="56" spans="1:16" x14ac:dyDescent="0.25">
      <c r="A56" s="1">
        <v>1995</v>
      </c>
      <c r="B56">
        <v>665</v>
      </c>
      <c r="C56" s="1" t="str">
        <f t="shared" si="0"/>
        <v>[552-720]</v>
      </c>
      <c r="D56" t="str">
        <f t="shared" si="6"/>
        <v>[875+][552-720]</v>
      </c>
      <c r="P56" s="18"/>
    </row>
    <row r="57" spans="1:16" x14ac:dyDescent="0.25">
      <c r="A57" s="1">
        <v>1996</v>
      </c>
      <c r="B57">
        <v>780</v>
      </c>
      <c r="C57" s="1" t="str">
        <f t="shared" si="0"/>
        <v>[720-875]</v>
      </c>
      <c r="D57" t="str">
        <f t="shared" si="6"/>
        <v>[552-720][720-875]</v>
      </c>
      <c r="P57" s="18"/>
    </row>
    <row r="58" spans="1:16" x14ac:dyDescent="0.25">
      <c r="A58" s="1">
        <v>1997</v>
      </c>
      <c r="B58">
        <v>850</v>
      </c>
      <c r="C58" s="1" t="str">
        <f t="shared" si="0"/>
        <v>[720-875]</v>
      </c>
      <c r="D58" t="str">
        <f t="shared" si="6"/>
        <v>[720-875][720-875]</v>
      </c>
      <c r="P58" s="18"/>
    </row>
    <row r="59" spans="1:16" x14ac:dyDescent="0.25">
      <c r="A59" s="1">
        <v>1998</v>
      </c>
      <c r="B59">
        <v>620</v>
      </c>
      <c r="C59" s="1" t="str">
        <f t="shared" si="0"/>
        <v>[552-720]</v>
      </c>
      <c r="D59" t="str">
        <f t="shared" si="6"/>
        <v>[720-875][552-720]</v>
      </c>
      <c r="P59" s="18"/>
    </row>
    <row r="60" spans="1:16" x14ac:dyDescent="0.25">
      <c r="A60" s="1">
        <v>1999</v>
      </c>
      <c r="B60">
        <v>330</v>
      </c>
      <c r="C60" s="1" t="str">
        <f t="shared" si="0"/>
        <v>[273-552]</v>
      </c>
      <c r="D60" t="str">
        <f t="shared" si="6"/>
        <v>[552-720][273-552]</v>
      </c>
      <c r="P60" s="18"/>
    </row>
    <row r="61" spans="1:16" x14ac:dyDescent="0.25">
      <c r="A61" s="1">
        <v>2000</v>
      </c>
      <c r="B61">
        <v>270</v>
      </c>
      <c r="C61" s="1" t="str">
        <f t="shared" si="0"/>
        <v>[0-273]</v>
      </c>
      <c r="D61" t="str">
        <f t="shared" si="6"/>
        <v>[273-552][0-273]</v>
      </c>
      <c r="P61" s="18"/>
    </row>
    <row r="62" spans="1:16" x14ac:dyDescent="0.25">
      <c r="A62" s="1">
        <v>2001</v>
      </c>
      <c r="B62">
        <v>510</v>
      </c>
      <c r="C62" s="1" t="str">
        <f t="shared" si="0"/>
        <v>[273-552]</v>
      </c>
      <c r="D62" t="str">
        <f t="shared" si="6"/>
        <v>[0-273][273-552]</v>
      </c>
      <c r="P62" s="18"/>
    </row>
    <row r="63" spans="1:16" x14ac:dyDescent="0.25">
      <c r="A63" s="1">
        <v>2002</v>
      </c>
      <c r="B63">
        <v>930</v>
      </c>
      <c r="C63" s="1" t="str">
        <f t="shared" si="0"/>
        <v>[875+]</v>
      </c>
      <c r="D63" t="str">
        <f t="shared" si="6"/>
        <v>[273-552][875+]</v>
      </c>
    </row>
    <row r="64" spans="1:16" x14ac:dyDescent="0.25">
      <c r="A64" s="1">
        <v>2003</v>
      </c>
      <c r="B64">
        <v>875</v>
      </c>
      <c r="C64" s="1" t="str">
        <f t="shared" si="0"/>
        <v>[875+]</v>
      </c>
      <c r="D64" t="str">
        <f t="shared" si="6"/>
        <v>[875+][875+]</v>
      </c>
    </row>
    <row r="65" spans="1:4" x14ac:dyDescent="0.25">
      <c r="A65" s="1">
        <v>2004</v>
      </c>
      <c r="B65">
        <v>840</v>
      </c>
      <c r="C65" s="1" t="str">
        <f t="shared" si="0"/>
        <v>[720-875]</v>
      </c>
      <c r="D65" t="str">
        <f t="shared" si="6"/>
        <v>[875+][720-875]</v>
      </c>
    </row>
    <row r="66" spans="1:4" x14ac:dyDescent="0.25">
      <c r="A66" s="1">
        <v>2005</v>
      </c>
      <c r="B66">
        <v>630</v>
      </c>
      <c r="C66" s="1" t="str">
        <f t="shared" ref="C66:C87" si="10">LOOKUP(B66,$G$2:$G$6,$H$2:$H$6)</f>
        <v>[552-720]</v>
      </c>
      <c r="D66" t="str">
        <f t="shared" si="6"/>
        <v>[720-875][552-720]</v>
      </c>
    </row>
    <row r="67" spans="1:4" x14ac:dyDescent="0.25">
      <c r="A67" s="1">
        <v>2006</v>
      </c>
      <c r="B67">
        <v>875</v>
      </c>
      <c r="C67" s="1" t="str">
        <f t="shared" si="10"/>
        <v>[875+]</v>
      </c>
      <c r="D67" t="str">
        <f t="shared" si="6"/>
        <v>[552-720][875+]</v>
      </c>
    </row>
    <row r="68" spans="1:4" x14ac:dyDescent="0.25">
      <c r="A68" s="1">
        <v>2007</v>
      </c>
      <c r="B68">
        <v>874</v>
      </c>
      <c r="C68" s="1" t="str">
        <f t="shared" si="10"/>
        <v>[720-875]</v>
      </c>
      <c r="D68" t="str">
        <f t="shared" ref="D68:D87" si="11">C67&amp;C68</f>
        <v>[875+][720-875]</v>
      </c>
    </row>
    <row r="69" spans="1:4" x14ac:dyDescent="0.25">
      <c r="A69" s="1">
        <v>2008</v>
      </c>
      <c r="B69">
        <v>307</v>
      </c>
      <c r="C69" s="1" t="str">
        <f t="shared" si="10"/>
        <v>[273-552]</v>
      </c>
      <c r="D69" t="str">
        <f t="shared" si="11"/>
        <v>[720-875][273-552]</v>
      </c>
    </row>
    <row r="70" spans="1:4" x14ac:dyDescent="0.25">
      <c r="A70" s="1">
        <v>2009</v>
      </c>
      <c r="B70">
        <v>415</v>
      </c>
      <c r="C70" s="1" t="str">
        <f t="shared" si="10"/>
        <v>[273-552]</v>
      </c>
      <c r="D70" t="str">
        <f t="shared" si="11"/>
        <v>[273-552][273-552]</v>
      </c>
    </row>
    <row r="71" spans="1:4" x14ac:dyDescent="0.25">
      <c r="A71" s="1">
        <v>2010</v>
      </c>
      <c r="B71">
        <v>844</v>
      </c>
      <c r="C71" s="1" t="str">
        <f t="shared" si="10"/>
        <v>[720-875]</v>
      </c>
      <c r="D71" t="str">
        <f t="shared" si="11"/>
        <v>[273-552][720-875]</v>
      </c>
    </row>
    <row r="72" spans="1:4" x14ac:dyDescent="0.25">
      <c r="A72" s="1">
        <v>2011</v>
      </c>
      <c r="B72">
        <v>661</v>
      </c>
      <c r="C72" s="1" t="str">
        <f t="shared" si="10"/>
        <v>[552-720]</v>
      </c>
      <c r="D72" t="str">
        <f t="shared" si="11"/>
        <v>[720-875][552-720]</v>
      </c>
    </row>
    <row r="73" spans="1:4" x14ac:dyDescent="0.25">
      <c r="A73" s="1">
        <v>2012</v>
      </c>
      <c r="B73">
        <v>547</v>
      </c>
      <c r="C73" s="1" t="str">
        <f t="shared" si="10"/>
        <v>[273-552]</v>
      </c>
      <c r="D73" t="str">
        <f t="shared" si="11"/>
        <v>[552-720][273-552]</v>
      </c>
    </row>
    <row r="74" spans="1:4" x14ac:dyDescent="0.25">
      <c r="A74" s="1">
        <v>2013</v>
      </c>
      <c r="B74">
        <v>826</v>
      </c>
      <c r="C74" s="1" t="str">
        <f t="shared" si="10"/>
        <v>[720-875]</v>
      </c>
      <c r="D74" t="str">
        <f t="shared" si="11"/>
        <v>[273-552][720-875]</v>
      </c>
    </row>
    <row r="75" spans="1:4" x14ac:dyDescent="0.25">
      <c r="A75" s="1">
        <v>2014</v>
      </c>
      <c r="B75">
        <v>581</v>
      </c>
      <c r="C75" s="1" t="str">
        <f t="shared" si="10"/>
        <v>[552-720]</v>
      </c>
      <c r="D75" t="str">
        <f t="shared" si="11"/>
        <v>[720-875][552-720]</v>
      </c>
    </row>
    <row r="76" spans="1:4" x14ac:dyDescent="0.25">
      <c r="A76" s="1">
        <v>2015</v>
      </c>
      <c r="B76">
        <v>691</v>
      </c>
      <c r="C76" s="1" t="str">
        <f t="shared" si="10"/>
        <v>[552-720]</v>
      </c>
      <c r="D76" t="str">
        <f t="shared" si="11"/>
        <v>[552-720][552-720]</v>
      </c>
    </row>
    <row r="77" spans="1:4" x14ac:dyDescent="0.25">
      <c r="A77" s="1">
        <v>2016</v>
      </c>
      <c r="B77">
        <v>947</v>
      </c>
      <c r="C77" s="1" t="str">
        <f t="shared" si="10"/>
        <v>[875+]</v>
      </c>
      <c r="D77" t="str">
        <f t="shared" si="11"/>
        <v>[552-720][875+]</v>
      </c>
    </row>
    <row r="78" spans="1:4" x14ac:dyDescent="0.25">
      <c r="A78" s="1">
        <v>2017</v>
      </c>
      <c r="B78">
        <v>561</v>
      </c>
      <c r="C78" s="1" t="str">
        <f t="shared" si="10"/>
        <v>[552-720]</v>
      </c>
      <c r="D78" t="str">
        <f t="shared" si="11"/>
        <v>[875+][552-720]</v>
      </c>
    </row>
    <row r="79" spans="1:4" x14ac:dyDescent="0.25">
      <c r="A79" s="1">
        <v>2018</v>
      </c>
      <c r="B79">
        <v>850</v>
      </c>
      <c r="C79" s="1" t="str">
        <f t="shared" si="10"/>
        <v>[720-875]</v>
      </c>
      <c r="D79" t="str">
        <f t="shared" si="11"/>
        <v>[552-720][720-875]</v>
      </c>
    </row>
    <row r="80" spans="1:4" x14ac:dyDescent="0.25">
      <c r="A80" s="1">
        <v>2019</v>
      </c>
      <c r="B80">
        <v>1618</v>
      </c>
      <c r="C80" s="1" t="str">
        <f t="shared" si="10"/>
        <v>[875+]</v>
      </c>
      <c r="D80" t="str">
        <f t="shared" si="11"/>
        <v>[720-875][875+]</v>
      </c>
    </row>
    <row r="81" spans="1:4" x14ac:dyDescent="0.25">
      <c r="A81" s="1">
        <v>2020</v>
      </c>
      <c r="B81">
        <v>931</v>
      </c>
      <c r="C81" s="1" t="str">
        <f t="shared" si="10"/>
        <v>[875+]</v>
      </c>
      <c r="D81" t="str">
        <f t="shared" si="11"/>
        <v>[875+][875+]</v>
      </c>
    </row>
    <row r="82" spans="1:4" x14ac:dyDescent="0.25">
      <c r="A82" s="1">
        <v>2021</v>
      </c>
      <c r="B82">
        <v>401</v>
      </c>
      <c r="C82" s="1" t="str">
        <f t="shared" si="10"/>
        <v>[273-552]</v>
      </c>
      <c r="D82" t="str">
        <f t="shared" si="11"/>
        <v>[875+][273-552]</v>
      </c>
    </row>
    <row r="83" spans="1:4" x14ac:dyDescent="0.25">
      <c r="A83" s="1">
        <v>2022</v>
      </c>
      <c r="B83">
        <v>420</v>
      </c>
      <c r="C83" s="1" t="str">
        <f t="shared" si="10"/>
        <v>[273-552]</v>
      </c>
      <c r="D83" t="str">
        <f t="shared" si="11"/>
        <v>[273-552][273-552]</v>
      </c>
    </row>
    <row r="84" spans="1:4" x14ac:dyDescent="0.25">
      <c r="A84" s="1">
        <v>2023</v>
      </c>
      <c r="B84">
        <v>781</v>
      </c>
      <c r="C84" s="1" t="str">
        <f t="shared" si="10"/>
        <v>[720-875]</v>
      </c>
      <c r="D84" t="str">
        <f t="shared" si="11"/>
        <v>[273-552][720-875]</v>
      </c>
    </row>
    <row r="85" spans="1:4" x14ac:dyDescent="0.25">
      <c r="A85" s="1">
        <v>2024</v>
      </c>
      <c r="B85">
        <v>724</v>
      </c>
      <c r="C85" s="1" t="str">
        <f t="shared" si="10"/>
        <v>[720-875]</v>
      </c>
      <c r="D85" t="str">
        <f t="shared" si="11"/>
        <v>[720-875][720-875]</v>
      </c>
    </row>
    <row r="86" spans="1:4" x14ac:dyDescent="0.25">
      <c r="A86" s="1">
        <v>2025</v>
      </c>
      <c r="B86">
        <v>350</v>
      </c>
      <c r="C86" s="1" t="str">
        <f t="shared" si="10"/>
        <v>[273-552]</v>
      </c>
      <c r="D86" t="str">
        <f t="shared" si="11"/>
        <v>[720-875][273-552]</v>
      </c>
    </row>
    <row r="87" spans="1:4" x14ac:dyDescent="0.25">
      <c r="A87" s="1">
        <v>2026</v>
      </c>
      <c r="B87">
        <v>1070</v>
      </c>
      <c r="C87" s="1" t="str">
        <f t="shared" si="10"/>
        <v>[875+]</v>
      </c>
      <c r="D87" t="str">
        <f t="shared" si="11"/>
        <v>[273-552][875+]</v>
      </c>
    </row>
  </sheetData>
  <mergeCells count="5">
    <mergeCell ref="G1:H1"/>
    <mergeCell ref="H8:L8"/>
    <mergeCell ref="F10:F28"/>
    <mergeCell ref="H30:L30"/>
    <mergeCell ref="F32:F50"/>
  </mergeCells>
  <conditionalFormatting sqref="H32:L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order Markov Chain</vt:lpstr>
      <vt:lpstr>making it have equal count</vt:lpstr>
      <vt:lpstr>2nd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2026-05-31T07:57:12Z</dcterms:created>
  <dcterms:modified xsi:type="dcterms:W3CDTF">2026-06-01T10:46:26Z</dcterms:modified>
</cp:coreProperties>
</file>